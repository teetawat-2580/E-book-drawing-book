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ad7ccb1417f4626/nonbusiness right now/Android app - Query data from excel and display/drawing book/"/>
    </mc:Choice>
  </mc:AlternateContent>
  <xr:revisionPtr revIDLastSave="6" documentId="11_AA558B77EB66F3CBC22B231C86FF7E3147798B32" xr6:coauthVersionLast="47" xr6:coauthVersionMax="47" xr10:uidLastSave="{BB100DA8-D132-454F-A8F6-33001E5D6E92}"/>
  <bookViews>
    <workbookView xWindow="-108" yWindow="-108" windowWidth="23256" windowHeight="12456" xr2:uid="{00000000-000D-0000-FFFF-FFFF00000000}"/>
  </bookViews>
  <sheets>
    <sheet name="INSERT_Generator" sheetId="1" r:id="rId1"/>
    <sheet name="UPDATE_Generator" sheetId="2" r:id="rId2"/>
    <sheet name="DELETE_Generator" sheetId="3" r:id="rId3"/>
    <sheet name="SQL_To_Table_Pars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E55" i="4"/>
  <c r="F55" i="4"/>
  <c r="G55" i="4"/>
  <c r="H55" i="4"/>
  <c r="I55" i="4"/>
  <c r="J55" i="4"/>
  <c r="K55" i="4"/>
  <c r="L55" i="4"/>
  <c r="M55" i="4"/>
  <c r="N55" i="4"/>
  <c r="O55" i="4"/>
  <c r="D56" i="4"/>
  <c r="E56" i="4"/>
  <c r="F56" i="4"/>
  <c r="G56" i="4"/>
  <c r="H56" i="4"/>
  <c r="I56" i="4"/>
  <c r="J56" i="4"/>
  <c r="K56" i="4"/>
  <c r="L56" i="4"/>
  <c r="M56" i="4"/>
  <c r="N56" i="4"/>
  <c r="O56" i="4"/>
  <c r="D57" i="4"/>
  <c r="E57" i="4"/>
  <c r="F57" i="4"/>
  <c r="G57" i="4"/>
  <c r="H57" i="4"/>
  <c r="I57" i="4"/>
  <c r="J57" i="4"/>
  <c r="K57" i="4"/>
  <c r="L57" i="4"/>
  <c r="M57" i="4"/>
  <c r="N57" i="4"/>
  <c r="O57" i="4"/>
  <c r="D58" i="4"/>
  <c r="E58" i="4"/>
  <c r="F58" i="4"/>
  <c r="G58" i="4"/>
  <c r="H58" i="4"/>
  <c r="I58" i="4"/>
  <c r="J58" i="4"/>
  <c r="K58" i="4"/>
  <c r="L58" i="4"/>
  <c r="M58" i="4"/>
  <c r="N58" i="4"/>
  <c r="O58" i="4"/>
  <c r="D59" i="4"/>
  <c r="E59" i="4"/>
  <c r="F59" i="4"/>
  <c r="G59" i="4"/>
  <c r="H59" i="4"/>
  <c r="I59" i="4"/>
  <c r="J59" i="4"/>
  <c r="K59" i="4"/>
  <c r="L59" i="4"/>
  <c r="M59" i="4"/>
  <c r="N59" i="4"/>
  <c r="O59" i="4"/>
  <c r="D60" i="4"/>
  <c r="E60" i="4"/>
  <c r="F60" i="4"/>
  <c r="G60" i="4"/>
  <c r="H60" i="4"/>
  <c r="I60" i="4"/>
  <c r="J60" i="4"/>
  <c r="K60" i="4"/>
  <c r="L60" i="4"/>
  <c r="M60" i="4"/>
  <c r="N60" i="4"/>
  <c r="O60" i="4"/>
  <c r="D61" i="4"/>
  <c r="E61" i="4"/>
  <c r="F61" i="4"/>
  <c r="G61" i="4"/>
  <c r="H61" i="4"/>
  <c r="I61" i="4"/>
  <c r="J61" i="4"/>
  <c r="K61" i="4"/>
  <c r="L61" i="4"/>
  <c r="M61" i="4"/>
  <c r="N61" i="4"/>
  <c r="O61" i="4"/>
  <c r="D62" i="4"/>
  <c r="E62" i="4"/>
  <c r="F62" i="4"/>
  <c r="G62" i="4"/>
  <c r="H62" i="4"/>
  <c r="I62" i="4"/>
  <c r="J62" i="4"/>
  <c r="K62" i="4"/>
  <c r="L62" i="4"/>
  <c r="M62" i="4"/>
  <c r="N62" i="4"/>
  <c r="O62" i="4"/>
  <c r="D63" i="4"/>
  <c r="E63" i="4"/>
  <c r="F63" i="4"/>
  <c r="G63" i="4"/>
  <c r="H63" i="4"/>
  <c r="I63" i="4"/>
  <c r="J63" i="4"/>
  <c r="K63" i="4"/>
  <c r="L63" i="4"/>
  <c r="M63" i="4"/>
  <c r="N63" i="4"/>
  <c r="O63" i="4"/>
  <c r="D64" i="4"/>
  <c r="E64" i="4"/>
  <c r="F64" i="4"/>
  <c r="G64" i="4"/>
  <c r="H64" i="4"/>
  <c r="I64" i="4"/>
  <c r="J64" i="4"/>
  <c r="K64" i="4"/>
  <c r="L64" i="4"/>
  <c r="M64" i="4"/>
  <c r="N64" i="4"/>
  <c r="O64" i="4"/>
  <c r="D65" i="4"/>
  <c r="E65" i="4"/>
  <c r="F65" i="4"/>
  <c r="G65" i="4"/>
  <c r="H65" i="4"/>
  <c r="I65" i="4"/>
  <c r="J65" i="4"/>
  <c r="K65" i="4"/>
  <c r="L65" i="4"/>
  <c r="M65" i="4"/>
  <c r="N65" i="4"/>
  <c r="O65" i="4"/>
  <c r="D66" i="4"/>
  <c r="E66" i="4"/>
  <c r="F66" i="4"/>
  <c r="G66" i="4"/>
  <c r="H66" i="4"/>
  <c r="I66" i="4"/>
  <c r="J66" i="4"/>
  <c r="K66" i="4"/>
  <c r="L66" i="4"/>
  <c r="M66" i="4"/>
  <c r="N66" i="4"/>
  <c r="O66" i="4"/>
  <c r="D67" i="4"/>
  <c r="E67" i="4"/>
  <c r="F67" i="4"/>
  <c r="G67" i="4"/>
  <c r="H67" i="4"/>
  <c r="I67" i="4"/>
  <c r="J67" i="4"/>
  <c r="K67" i="4"/>
  <c r="L67" i="4"/>
  <c r="M67" i="4"/>
  <c r="N67" i="4"/>
  <c r="O67" i="4"/>
  <c r="D68" i="4"/>
  <c r="E68" i="4"/>
  <c r="F68" i="4"/>
  <c r="G68" i="4"/>
  <c r="H68" i="4"/>
  <c r="I68" i="4"/>
  <c r="J68" i="4"/>
  <c r="K68" i="4"/>
  <c r="L68" i="4"/>
  <c r="M68" i="4"/>
  <c r="N68" i="4"/>
  <c r="O68" i="4"/>
  <c r="D69" i="4"/>
  <c r="E69" i="4"/>
  <c r="F69" i="4"/>
  <c r="G69" i="4"/>
  <c r="H69" i="4"/>
  <c r="I69" i="4"/>
  <c r="J69" i="4"/>
  <c r="K69" i="4"/>
  <c r="L69" i="4"/>
  <c r="M69" i="4"/>
  <c r="N69" i="4"/>
  <c r="O69" i="4"/>
  <c r="D70" i="4"/>
  <c r="E70" i="4"/>
  <c r="F70" i="4"/>
  <c r="G70" i="4"/>
  <c r="H70" i="4"/>
  <c r="I70" i="4"/>
  <c r="J70" i="4"/>
  <c r="K70" i="4"/>
  <c r="L70" i="4"/>
  <c r="M70" i="4"/>
  <c r="N70" i="4"/>
  <c r="O70" i="4"/>
  <c r="D71" i="4"/>
  <c r="E71" i="4"/>
  <c r="F71" i="4"/>
  <c r="G71" i="4"/>
  <c r="H71" i="4"/>
  <c r="I71" i="4"/>
  <c r="J71" i="4"/>
  <c r="K71" i="4"/>
  <c r="L71" i="4"/>
  <c r="M71" i="4"/>
  <c r="N71" i="4"/>
  <c r="O71" i="4"/>
  <c r="D72" i="4"/>
  <c r="E72" i="4"/>
  <c r="F72" i="4"/>
  <c r="G72" i="4"/>
  <c r="H72" i="4"/>
  <c r="I72" i="4"/>
  <c r="J72" i="4"/>
  <c r="K72" i="4"/>
  <c r="L72" i="4"/>
  <c r="M72" i="4"/>
  <c r="N72" i="4"/>
  <c r="O72" i="4"/>
  <c r="D73" i="4"/>
  <c r="E73" i="4"/>
  <c r="F73" i="4"/>
  <c r="G73" i="4"/>
  <c r="H73" i="4"/>
  <c r="I73" i="4"/>
  <c r="J73" i="4"/>
  <c r="K73" i="4"/>
  <c r="L73" i="4"/>
  <c r="M73" i="4"/>
  <c r="N73" i="4"/>
  <c r="O73" i="4"/>
  <c r="D74" i="4"/>
  <c r="E74" i="4"/>
  <c r="F74" i="4"/>
  <c r="G74" i="4"/>
  <c r="H74" i="4"/>
  <c r="I74" i="4"/>
  <c r="J74" i="4"/>
  <c r="K74" i="4"/>
  <c r="L74" i="4"/>
  <c r="M74" i="4"/>
  <c r="N74" i="4"/>
  <c r="O74" i="4"/>
  <c r="D75" i="4"/>
  <c r="E75" i="4"/>
  <c r="F75" i="4"/>
  <c r="G75" i="4"/>
  <c r="H75" i="4"/>
  <c r="I75" i="4"/>
  <c r="J75" i="4"/>
  <c r="K75" i="4"/>
  <c r="L75" i="4"/>
  <c r="M75" i="4"/>
  <c r="N75" i="4"/>
  <c r="O75" i="4"/>
  <c r="D76" i="4"/>
  <c r="E76" i="4"/>
  <c r="F76" i="4"/>
  <c r="G76" i="4"/>
  <c r="H76" i="4"/>
  <c r="I76" i="4"/>
  <c r="J76" i="4"/>
  <c r="K76" i="4"/>
  <c r="L76" i="4"/>
  <c r="M76" i="4"/>
  <c r="N76" i="4"/>
  <c r="O76" i="4"/>
  <c r="D77" i="4"/>
  <c r="E77" i="4"/>
  <c r="F77" i="4"/>
  <c r="G77" i="4"/>
  <c r="H77" i="4"/>
  <c r="I77" i="4"/>
  <c r="J77" i="4"/>
  <c r="K77" i="4"/>
  <c r="L77" i="4"/>
  <c r="M77" i="4"/>
  <c r="N77" i="4"/>
  <c r="O77" i="4"/>
  <c r="D78" i="4"/>
  <c r="E78" i="4"/>
  <c r="F78" i="4"/>
  <c r="G78" i="4"/>
  <c r="H78" i="4"/>
  <c r="I78" i="4"/>
  <c r="J78" i="4"/>
  <c r="K78" i="4"/>
  <c r="L78" i="4"/>
  <c r="M78" i="4"/>
  <c r="N78" i="4"/>
  <c r="O78" i="4"/>
  <c r="D79" i="4"/>
  <c r="E79" i="4"/>
  <c r="F79" i="4"/>
  <c r="G79" i="4"/>
  <c r="H79" i="4"/>
  <c r="I79" i="4"/>
  <c r="J79" i="4"/>
  <c r="K79" i="4"/>
  <c r="L79" i="4"/>
  <c r="M79" i="4"/>
  <c r="N79" i="4"/>
  <c r="O79" i="4"/>
  <c r="D80" i="4"/>
  <c r="E80" i="4"/>
  <c r="F80" i="4"/>
  <c r="G80" i="4"/>
  <c r="H80" i="4"/>
  <c r="I80" i="4"/>
  <c r="J80" i="4"/>
  <c r="K80" i="4"/>
  <c r="L80" i="4"/>
  <c r="M80" i="4"/>
  <c r="N80" i="4"/>
  <c r="O80" i="4"/>
  <c r="D81" i="4"/>
  <c r="E81" i="4"/>
  <c r="F81" i="4"/>
  <c r="G81" i="4"/>
  <c r="H81" i="4"/>
  <c r="I81" i="4"/>
  <c r="J81" i="4"/>
  <c r="K81" i="4"/>
  <c r="L81" i="4"/>
  <c r="M81" i="4"/>
  <c r="N81" i="4"/>
  <c r="O81" i="4"/>
  <c r="D82" i="4"/>
  <c r="E82" i="4"/>
  <c r="F82" i="4"/>
  <c r="G82" i="4"/>
  <c r="H82" i="4"/>
  <c r="I82" i="4"/>
  <c r="J82" i="4"/>
  <c r="K82" i="4"/>
  <c r="L82" i="4"/>
  <c r="M82" i="4"/>
  <c r="N82" i="4"/>
  <c r="O82" i="4"/>
  <c r="D83" i="4"/>
  <c r="E83" i="4"/>
  <c r="F83" i="4"/>
  <c r="G83" i="4"/>
  <c r="H83" i="4"/>
  <c r="I83" i="4"/>
  <c r="J83" i="4"/>
  <c r="K83" i="4"/>
  <c r="L83" i="4"/>
  <c r="M83" i="4"/>
  <c r="N83" i="4"/>
  <c r="O83" i="4"/>
  <c r="D84" i="4"/>
  <c r="E84" i="4"/>
  <c r="F84" i="4"/>
  <c r="G84" i="4"/>
  <c r="H84" i="4"/>
  <c r="I84" i="4"/>
  <c r="J84" i="4"/>
  <c r="K84" i="4"/>
  <c r="L84" i="4"/>
  <c r="M84" i="4"/>
  <c r="N84" i="4"/>
  <c r="O84" i="4"/>
  <c r="D85" i="4"/>
  <c r="E85" i="4"/>
  <c r="F85" i="4"/>
  <c r="G85" i="4"/>
  <c r="H85" i="4"/>
  <c r="I85" i="4"/>
  <c r="J85" i="4"/>
  <c r="K85" i="4"/>
  <c r="L85" i="4"/>
  <c r="M85" i="4"/>
  <c r="N85" i="4"/>
  <c r="O85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B24" i="3"/>
  <c r="B23" i="3"/>
  <c r="B22" i="3"/>
  <c r="B21" i="3"/>
  <c r="B20" i="3"/>
  <c r="B19" i="3"/>
  <c r="B18" i="3"/>
  <c r="B17" i="3"/>
  <c r="B16" i="3"/>
  <c r="B15" i="3"/>
  <c r="I14" i="3"/>
  <c r="B14" i="3"/>
  <c r="I13" i="3"/>
  <c r="B13" i="3"/>
  <c r="I12" i="3"/>
  <c r="B12" i="3"/>
  <c r="I11" i="3"/>
  <c r="B11" i="3"/>
  <c r="I10" i="3"/>
  <c r="B10" i="3"/>
  <c r="I9" i="3"/>
  <c r="B9" i="3"/>
  <c r="I8" i="3"/>
  <c r="B8" i="3"/>
  <c r="I7" i="3"/>
  <c r="B7" i="3"/>
  <c r="I6" i="3"/>
  <c r="B6" i="3"/>
  <c r="I5" i="3"/>
  <c r="E5" i="3"/>
  <c r="B5" i="3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A4" i="1"/>
</calcChain>
</file>

<file path=xl/sharedStrings.xml><?xml version="1.0" encoding="utf-8"?>
<sst xmlns="http://schemas.openxmlformats.org/spreadsheetml/2006/main" count="202" uniqueCount="172">
  <si>
    <t>🚀 MULTI-ROW BATCH INSERT GENERATOR (ไม่ใส่ ID ใช้ Auto-Increment ลดภาระเซิร์ฟเวอร์)</t>
  </si>
  <si>
    <t>คำแนะนำ: กรอกข้อมูลลงในแถวด้านล่าง (ไม่ต้องกรอก ID) ระบบจะรวมคำสั่งเป็น Multi-Row INSERT ให้อัตโนมัติในกล่องสีเขียวเข้มด้านล่าง</t>
  </si>
  <si>
    <t>⚡ MULTI-ROW BATCH INSERT STATEMENT (คัดลอกกล่องนี้ไปใช้รันได้ทันทีทั้งชุด):</t>
  </si>
  <si>
    <t>title (ชื่อหนังสือ)*</t>
  </si>
  <si>
    <t>author_name (ผู้แต่ง)</t>
  </si>
  <si>
    <t>publisher (สำนักพิมพ์)</t>
  </si>
  <si>
    <t>category (หมวดหมู่)*</t>
  </si>
  <si>
    <t>price (ราคาขาย)*</t>
  </si>
  <si>
    <t>original_price (ราคาเต็ม)</t>
  </si>
  <si>
    <t>pages_count (จำนวนหน้า)</t>
  </si>
  <si>
    <t>file_type (ประเภทไฟล์)</t>
  </si>
  <si>
    <t>badge (ป้ายติด)</t>
  </si>
  <si>
    <t>cover_image_url (URL ปก)</t>
  </si>
  <si>
    <t>file_path (URL ไฟล์เต็ม)</t>
  </si>
  <si>
    <t>sample_file_path (URL ไฟล์ตัวอย่าง)</t>
  </si>
  <si>
    <t>description (รายละเอียด)</t>
  </si>
  <si>
    <t>📦 ROW TUPLE VALUE (Multi-Row Component)</t>
  </si>
  <si>
    <t>สมุดระบายสีสัตว์น่ารัก เล่ม 1</t>
  </si>
  <si>
    <t>คลังสมอง</t>
  </si>
  <si>
    <t>คลังสมอง KLANGSAMONG</t>
  </si>
  <si>
    <t>สมุดระบายสีเด็ก</t>
  </si>
  <si>
    <t>30 หน้า</t>
  </si>
  <si>
    <t>PDF</t>
  </si>
  <si>
    <t>ขายดี</t>
  </si>
  <si>
    <t>https://firebasestorage.googleapis.com/.../cover1.jpg</t>
  </si>
  <si>
    <t>https://firebasestorage.googleapis.com/.../book1.pdf</t>
  </si>
  <si>
    <t>https://firebasestorage.googleapis.com/.../sample1.pdf</t>
  </si>
  <si>
    <t>แบบฝึกหัดระบายสีสำหรับเด็กปฐมวัย เสริมสร้างพัฒนาการ</t>
  </si>
  <si>
    <t>ชีทคณิตศาสตร์ คิดเลขเร็ว เล่ม 1</t>
  </si>
  <si>
    <t>คณิตศาสตร์</t>
  </si>
  <si>
    <t>45 หน้า</t>
  </si>
  <si>
    <t>แนะนำ</t>
  </si>
  <si>
    <t>https://firebasestorage.googleapis.com/.../cover2.jpg</t>
  </si>
  <si>
    <t>https://firebasestorage.googleapis.com/.../book2.pdf</t>
  </si>
  <si>
    <t>https://firebasestorage.googleapis.com/.../sample2.pdf</t>
  </si>
  <si>
    <t>แบบฝึกหัดคิดเลขเร็ว บวก ลบ เลข 2 หลัก สำหรับเด็กประถม</t>
  </si>
  <si>
    <t>แฟลชการ์ด คำศัพท์ภาษาอังกฤษ 100 คำ</t>
  </si>
  <si>
    <t>แฟลชการ์ด</t>
  </si>
  <si>
    <t>50 การ์ด</t>
  </si>
  <si>
    <t>มาใหม่</t>
  </si>
  <si>
    <t>แฟลชการ์ดคำศัพท์ภาษาอังกฤษพร้อมรูปภาพประกอบน่ารัก</t>
  </si>
  <si>
    <t>🛠️ DYNAMIC BATCH UPDATE SQL GENERATOR (เลือกคอลัมน์ที่ต้องการอัปเดต)</t>
  </si>
  <si>
    <t>เลือก YES/NO ในบรรทัดที่ 3 เพื่อเลือกว่าจะอัปเดตคอลัมน์ใดบ้าง | ระบบจะสร้างคำสั่ง UPDATE books SET ... WHERE id=X ให้อัตโนมัติ</t>
  </si>
  <si>
    <t>🔑 Key ID (FIXED)</t>
  </si>
  <si>
    <t>YES</t>
  </si>
  <si>
    <t>NO</t>
  </si>
  <si>
    <t>⚙️ DYNAMIC UPDATE STATEMENT</t>
  </si>
  <si>
    <t>id (ระบุ ID)*</t>
  </si>
  <si>
    <t>title (ชื่อหนังสือ)</t>
  </si>
  <si>
    <t>category (หมวดหมู่)</t>
  </si>
  <si>
    <t>price (ราคาขาย)</t>
  </si>
  <si>
    <t>sample_file_path (URL ตัวอย่าง)</t>
  </si>
  <si>
    <t>⚡ GENERATED UPDATE SQL STATEMENT</t>
  </si>
  <si>
    <t>สมุดระบายสีสัตว์น่ารัก เล่ม 1 (ปรับปรุงใหม่)</t>
  </si>
  <si>
    <t>https://firebasestorage.googleapis.com/.../new_cover1.jpg</t>
  </si>
  <si>
    <t>https://firebasestorage.googleapis.com/.../new_book1.pdf</t>
  </si>
  <si>
    <t>นิทานเด็ก AI ผจญภัยในอวกาศ</t>
  </si>
  <si>
    <t>นิทานเด็ก AI</t>
  </si>
  <si>
    <t>แนะนำพิเศษ</t>
  </si>
  <si>
    <t>https://firebasestorage.googleapis.com/.../cover5.jpg</t>
  </si>
  <si>
    <t>🗑️ BATCH DELETE SQL GENERATOR (ลบข้อมูลตาม ID หรือเงื่อนไข)</t>
  </si>
  <si>
    <t>📌 วิธีที่ 1: ลบรายหนังสือ (Single Row Delete)</t>
  </si>
  <si>
    <t>📦 วิธีที่ 2: ลบหลาย ID พร้อมกัน (Batch IN Delete)</t>
  </si>
  <si>
    <t>🎯 วิธีที่ 3: ลบตามเงื่อนไข (Condition Delete)</t>
  </si>
  <si>
    <t>book_id (ระบุ ID)</t>
  </si>
  <si>
    <t>⚡ GENERATED DELETE STATEMENT</t>
  </si>
  <si>
    <t>รายชื่อ ID ที่ต้องการลบ</t>
  </si>
  <si>
    <t>⚡ BATCH DELETE IN (...) SQL RESULT</t>
  </si>
  <si>
    <t>ฟิลด์เงื่อนไข</t>
  </si>
  <si>
    <t>ค่าที่ต้องการระบุ</t>
  </si>
  <si>
    <t>⚡ CONDITION DELETE SQL</t>
  </si>
  <si>
    <t>category</t>
  </si>
  <si>
    <t>badge</t>
  </si>
  <si>
    <t>ทดลองใช้</t>
  </si>
  <si>
    <t>📋 SQL TO TABLE PARSER (แปลงโค้ด SQL ทุกหัวข้อกลับเป็นตารางข้อมูล)</t>
  </si>
  <si>
    <t>คำแนะนำ: วางโค้ด SQL INSERT หรือโค้ดส่งออกในคอลัมน์ A | ระบบจะสกัดค่าข้อมูลจริง (Data Values) จากชุด VALUES (...) ของทุกหัวข้อกลับเป็นตารางให้อัตโนมัติ</t>
  </si>
  <si>
    <t>📥 วางโค้ด SQL (Raw SQL Query)</t>
  </si>
  <si>
    <t>Parsed ID (คอลัมน์ B)</t>
  </si>
  <si>
    <t>Parsed Title (คอลัมน์ C)</t>
  </si>
  <si>
    <t>Parsed Author (คอลัมน์ D)</t>
  </si>
  <si>
    <t>Parsed Publisher (คอลัมน์ E)</t>
  </si>
  <si>
    <t>Parsed Category (คอลัมน์ F)</t>
  </si>
  <si>
    <t>Parsed Price (คอลัมน์ G)</t>
  </si>
  <si>
    <t>Parsed Original Price (คอลัมน์ H)</t>
  </si>
  <si>
    <t>Parsed Pages (คอลัมน์ I)</t>
  </si>
  <si>
    <t>Parsed File Type (คอลัมน์ J)</t>
  </si>
  <si>
    <t>Parsed Badge (คอลัมน์ K)</t>
  </si>
  <si>
    <t>Parsed Cover URL (คอลัมน์ L)</t>
  </si>
  <si>
    <t>Parsed File Path (คอลัมน์ M)</t>
  </si>
  <si>
    <t>Parsed Sample Path (คอลัมน์ N)</t>
  </si>
  <si>
    <t>Parsed Description (คอลัมน์ O)</t>
  </si>
  <si>
    <t>INSERT INTO books (id, title, author_name, publisher, category, price, original_price, pages_count, file_type, badge, cover_image_url, file_path, sample_file_path, description) VALUES (16, 'เล่ม 1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'https://drive.google.com/file/d/1Nl9cPFhynS-G_519U2ttLGGwnO0lFwEs/view?usp=drive_link',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</si>
  <si>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(17, 'เล่ม 2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'https://drive.google.com/file/d/1zq072eSXPhXbHEDNiwQwv1Cpg5CACHlD/view?usp=drive_link',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</si>
  <si>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(18, 'เล่ม 3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'https://drive.google.com/file/d/1Mr-GU6mAfAaRExQVTYbn7rgxphkQwq9N/view?usp=drive_link',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</si>
  <si>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(19, 'เล่ม 4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'https://drive.google.com/file/d/1lCKiLRaKeFvNxMkttBVqiCXR1uDp4vuu/view?usp=drive_link',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</si>
  <si>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(20, 'เล่ม 5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'https://drive.google.com/file/d/1lPwRBk6Wdhh1H50M6c6Yq13YpEAC4gth/view?usp=drive_link',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</si>
  <si>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(21, 'เล่ม 6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'https://drive.google.com/file/d/1LNJCc4sS_aw5_R5duUdjXdmJHyDZzJ2w/view?usp=drive_link',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</si>
  <si>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(22, 'เล่ม 7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'https://drive.google.com/file/d/18Y0DP5K4BsU0eTA1SDN6Zn3hZ3-SYjlv/view?usp=drive_link',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</si>
  <si>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(23, 'เล่ม 8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'https://drive.google.com/file/d/1bw-v0AQhdvfjtr4LN4P8K6qEnB7Eg1SY/view?usp=drive_link',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</si>
  <si>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(24, 'เล่ม 9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'https://drive.google.com/file/d/1Lyf1x-Mpq1VaRFgRyZEgQB_OKu4pzHOl/view?usp=drive_link',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</si>
  <si>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(25, 'เล่ม 10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'https://drive.google.com/file/d/1oMvD-2gEMP-zq_FBQHEfUUqZSC-dsAo9/view?usp=drive_link',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</si>
  <si>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(26, 'เล่ม 11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'https://drive.google.com/file/d/12ue4faDV0LdxBwjuGiV05dLwCmn1ZiGw/view?usp=drive_link',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</si>
  <si>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(27, 'เล่ม 12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'https://drive.google.com/file/d/1Spz5zDfTOlwrwxQe4DU0S8c1hw8OwDEP/view?usp=drive_link',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</si>
  <si>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(28, 'เล่ม 13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'https://drive.google.com/file/d/1ArInhAqbR4nErhV8yj9XXPl7pTJLabwK/view?usp=drive_link',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</si>
  <si>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(29, 'เล่ม 14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'https://drive.google.com/file/d/1zu4_wsVuFvgqA1EdQmVSPrTgVk6q2P2b/view?usp=drive_link',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</si>
  <si>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(30, 'เล่ม 15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'https://drive.google.com/file/d/14N5Sex2rBoz8vx85AcLVrlC_fcwX69EW/view?usp=drive_link',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</si>
  <si>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(31, 'เล่ม 16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'https://drive.google.com/file/d/1B8IPRqt-rcYwuIGAfWOUkRr3vuPwyN8S/view?usp=drive_link',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</si>
  <si>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(32, 'เล่ม 17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'https://drive.google.com/file/d/1T-xnc9wWsMDPLtQ9BPKobAaZV92fX8WR/view?usp=drive_link',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</si>
  <si>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(33, 'เล่ม 18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'https://drive.google.com/file/d/19-IOQJBtb50IvVjGdcTHTUto4dcLPxbr/view?usp=drive_link',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</si>
  <si>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(34, 'เล่ม 19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'https://drive.google.com/file/d/1_uJPdIzOia9tz5F_AhzpZSbGfuSppl7M/view?usp=drive_link',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</si>
  <si>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(35, 'เล่ม 20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'https://drive.google.com/file/d/113tR-GWDasKo54AnhfNCloBt4QdsNeuA/view?usp=drive_link',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</si>
  <si>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(36, 'เล่ม 21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'https://drive.google.com/file/d/1b92Fwj8N6mM1n3z3xHRgTRqEqWb1Wi9y/view?usp=drive_link',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</si>
  <si>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(37, 'เล่ม 22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'https://drive.google.com/file/d/1CUVGbMkEX8mpls3oAWxP7E1es2BVKsCg/view?usp=drive_link',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</si>
  <si>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(38, 'เล่ม 23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'https://drive.google.com/file/d/1lROGLXKf8p0KhRThrt1UuwlN6SpJX7GS/view?usp=drive_link',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</si>
  <si>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(39, 'เล่ม 24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'https://drive.google.com/file/d/1jIQNAS0-Kscd3w9GwJQUPSbOnUqmerXg/view?usp=drive_link',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</si>
  <si>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(40, 'เล่ม 25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'https://drive.google.com/file/d/1J9_HkbjhdzXYk1umhye9kuHlCat_r4_g/view?usp=drive_link',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</si>
  <si>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(41, 'เล่ม 26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'https://drive.google.com/file/d/10pD5XeKiGnukv-hIuEGlvB8S8bzEcqJN/view?usp=drive_link',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</si>
  <si>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(42, 'เล่ม 27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'https://drive.google.com/file/d/1YNcS2DgbF6SkCmu22kVRTs66IUOlkNi8/view?usp=drive_link',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</si>
  <si>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(43, 'เล่ม 28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'https://drive.google.com/file/d/14pLkBY9vV1fuLdfg87MCVMhmnPbI7m3m/view?usp=drive_link',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</si>
  <si>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(44, 'เล่ม 29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'https://drive.google.com/file/d/166iEMn9QkCkESZc_--daW2QkeDtEIFL7/view?usp=drive_link',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</si>
  <si>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(45, 'เล่ม 30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'https://drive.google.com/file/d/1R61lzA0eX2P5BifkIQdVHxmkvNC9gbnz/view?usp=drive_link',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</si>
  <si>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(46, 'เล่ม 31 : แบบฝึกหัดพื้นฐานการบวกเลข (สำหรับเด็กป.1)', 'คลังสมอง', 'คลังสมอง KLANGSAMONG', 'พื้นฐานการบวกเลข', 159, 250, '25 หน้า', 'PDF', 'แนะนำ', 'https://firebasestorage.googleapis.com/v0/b/klangsamong-e1d13.firebasestorage.app/o/covers%2F1785168637872________________________.png?alt=media', 'https://drive.google.com/file/d/1PFdXLRBborqJB5o8rXIGqSq6r8fkrIp5/view?usp=drive_link', 'NULL', 'แบบฝึกหัดพื้นฐานการบวกเลข เสริมสร้างทักษะคณิตศาสตร์เบื้องต้นอย่างสนุกสนาน')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</si>
  <si>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(47, 'เล่มที่ : 1 กีฬาแสนสนุก', 'คลังสมอง', 'คลังสมอง KLANGSAMONG', 'สมุดระบายสีเด็ก', 159, 199, '20 หน้า', 'PDF', 'แนะนำ', 'https://firebasestorage.googleapis.com/v0/b/klangsamong-e1d13.firebasestorage.app/o/covers%2F1785415431467_Cover_-_KLANGSAMONG_-_A4_split_2_picked.png?alt=media', 'https://drive.google.com/file/d/1fMkNZkC0P08SdF20rwTlWnUMcdUyrCZR/view?usp=drive_link', 'https://firebasestorage.googleapis.com/v0/b/klangsamong-e1d13.firebasestorage.app/o/samples%2F18_%E0%B8%AD%E0%B8%B2%E0%B8%8A%E0%B8%B5%E0%B8%9E%E0%B9%83%E0%B8%99%E0%B8%9D%E0%B8%B1%E0%B8%99_picked_added_logo.png?alt=media&amp;token=e3c72a74-8e3a-42c5-8e40-c0ec203258c5',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</si>
  <si>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(48, 'เล่มที่ : 2 ของเล่นชิ้นโปรด', 'คลังสมอง', 'คลังสมอง KLANGSAMONG', 'สมุดระบายสีเด็ก', 159, 199, '20 หน้า', 'PDF', 'แนะนำ', 'https://firebasestorage.googleapis.com/v0/b/klangsamong-e1d13.firebasestorage.app/o/covers%2F1785418492724_cover_________________picked.png?alt=media', 'https://drive.google.com/file/d/1Z9xB4NiWNte069sR42rEejqmlrgMYzfZ/view?usp=drive_link', 'https://firebasestorage.googleapis.com/v0/b/klangsamong-e1d13.firebasestorage.app/o/samples%2F2_%E0%B8%82%E0%B8%AD%E0%B8%87%E0%B9%80%E0%B8%A5%E0%B9%88%E0%B8%99%E0%B8%8A%E0%B8%B4%E0%B9%89%E0%B8%99%E0%B9%82%E0%B8%9B%E0%B8%A3%E0%B8%94_picked_added_logo.png?alt=media&amp;token=11ed7af6-1535-4065-bb05-6fdde6f8882c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</si>
  <si>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(49, 'เล่มที่ : 3 ช่วยเหลือเมืองของเรา',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'https://firebasestorage.googleapis.com/v0/b/klangsamong-e1d13.firebasestorage.app/o/covers%2FCover%20-%20KLANGSAMONG%20-%20A4_split_1_picked.png?alt=media&amp;token=df0d48c4-1b3e-438a-bb35-d4bbc8b04f66', 'https://drive.google.com/file/d/1HOdIVT1wJtqVeYB8sQ2V8__7mLrHpjxp/view?usp=drive_link', 'https://firebasestorage.googleapis.com/v0/b/klangsamong-e1d13.firebasestorage.app/o/samples%2F3_%E0%B8%8A%E0%B9%88%E0%B8%A7%E0%B8%A2%E0%B9%80%E0%B8%AB%E0%B8%A5%E0%B8%B7%E0%B8%AD%E0%B9%80%E0%B8%A1%E0%B8%B7%E0%B8%AD%E0%B8%87%E0%B8%82%E0%B8%AD%E0%B8%87%E0%B9%80%E0%B8%A3%E0%B8%B2_picked_added_logo.png?alt=media&amp;token=64f63941-7e7a-4b5c-b2c7-46b3083b03bd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</si>
  <si>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(50, 'เล่มที่ : 4 ตัวอักษรภาษาอังกฤษ A-Z',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'https://firebasestorage.googleapis.com/v0/b/klangsamong-e1d13.firebasestorage.app/o/covers%2FCover%20-%20KLANGSAMONG%20-%20A4_split_4_picked.png?alt=media&amp;token=98633533-789c-43e4-b83c-f4eee02afc19', 'https://drive.google.com/file/d/1GZq6N2o0-Mm4JO0utNdkuqT4NkusXpn6/view?usp=drive_link', 'https://firebasestorage.googleapis.com/v0/b/klangsamong-e1d13.firebasestorage.app/o/samples%2F4_%E0%B8%95%E0%B8%B1%E0%B8%A7%E0%B8%AD%E0%B8%B1%E0%B8%81%E0%B8%A9%E0%B8%A3%E0%B8%A0%E0%B8%B2%E0%B8%A9%E0%B8%B2%E0%B8%AD%E0%B8%B1%E0%B8%87%E0%B8%81%E0%B8%A4%E0%B8%A9%20A%E2%80%93Z_picked_added_logo.png?alt=media&amp;token=26dd0b4e-ffaa-4b7a-b3bd-5b33a77b11bf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</si>
  <si>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(51, 'เล่มที่ : 5 ตัวเลขแสนสนุก',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'https://firebasestorage.googleapis.com/v0/b/klangsamong-e1d13.firebasestorage.app/o/covers%2FCover%20-%20KLANGSAMONG%20-%20A4_split_3_picked.png?alt=media&amp;token=b169d91a-37ba-40bf-8edf-c02ab3bdf4cb', 'https://drive.google.com/file/d/1JNCnJgqzZou6TsC9-mLYKYElzO1COw4Z/view?usp=drive_link', 'https://firebasestorage.googleapis.com/v0/b/klangsamong-e1d13.firebasestorage.app/o/samples%2F5_%E0%B8%95%E0%B8%B1%E0%B8%A7%E0%B9%80%E0%B8%A5%E0%B8%82%E0%B9%81%E0%B8%AA%E0%B8%99%E0%B8%AA%E0%B8%99%E0%B8%B8%E0%B8%81_picked_added_logo.png?alt=media&amp;token=4ea2f0a7-b64f-4d50-9b26-3f2aa824befb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</si>
  <si>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(52, 'เล่มที่ : 6 นกและแมลงตัวจิ๋ว',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'https://firebasestorage.googleapis.com/v0/b/klangsamong-e1d13.firebasestorage.app/o/covers%2FCover%20-%20KLANGSAMONG%20-%20A4_split_5_picked.png?alt=media&amp;token=f0de6415-781d-41a8-aaed-4e7324e89e2c', 'https://drive.google.com/file/d/12C8EdWD9nM8i_9mtz0Npk7xhqp4BDtjU/view?usp=drive_link', 'https://firebasestorage.googleapis.com/v0/b/klangsamong-e1d13.firebasestorage.app/o/samples%2F6_%E0%B8%99%E0%B8%81%E0%B9%81%E0%B8%A5%E0%B8%B0%E0%B9%81%E0%B8%A1%E0%B8%A5%E0%B8%87%E0%B8%95%E0%B8%B1%E0%B8%A7%E0%B8%88%E0%B8%B4%E0%B9%8B%E0%B8%A7_picked_added_logo.png?alt=media&amp;token=78827b2d-24b2-4a60-8ff0-98f33b23b763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</si>
  <si>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(53, 'เล่มที่ : 7 บ้านของฉัน',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'https://firebasestorage.googleapis.com/v0/b/klangsamong-e1d13.firebasestorage.app/o/covers%2FCover%20-%20KLANGSAMONG%20-%20A4_split_6_picked.png?alt=media&amp;token=6b70c8fe-9272-4d3a-bee9-9c1070f1ae63', 'https://drive.google.com/file/d/1rnDxjBRiw1YqLkLaApOc2rqTinzX6V6S/view?usp=drive_link', 'https://firebasestorage.googleapis.com/v0/b/klangsamong-e1d13.firebasestorage.app/o/samples%2F7_%E0%B8%9A%E0%B9%89%E0%B8%B2%E0%B8%99%E0%B8%82%E0%B8%AD%E0%B8%87%E0%B8%89%E0%B8%B1%E0%B8%99_picked_added_logo.png?alt=media&amp;token=a863a579-7da0-4c25-b89c-35c14a09e94e',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</si>
  <si>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(54, 'เล่มที่ : 8 ผลไม้แสนอร่อย',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'https://firebasestorage.googleapis.com/v0/b/klangsamong-e1d13.firebasestorage.app/o/covers%2FCover%20-%20KLANGSAMONG%20-%20A4_split_7_picked.png?alt=media&amp;token=2f7feaaf-a78f-4fb9-a6d4-d8b852344553', 'https://drive.google.com/file/d/1SrXvHpypHBKrlWsBjERF-FiqFVpfPU9x/view?usp=drive_link', 'https://firebasestorage.googleapis.com/v0/b/klangsamong-e1d13.firebasestorage.app/o/samples%2F8_%E0%B8%9C%E0%B8%A5%E0%B9%84%E0%B8%A1%E0%B9%89%E0%B9%81%E0%B8%AA%E0%B8%99%E0%B8%AD%E0%B8%A3%E0%B9%88%E0%B8%AD%E0%B8%A2_picked_added_logo.png?alt=media&amp;token=cbf81354-dbc4-4035-a20d-1cfd274546d6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</si>
  <si>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(55, 'เล่มที่ : 9 ผักสุขภาพดี',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'https://firebasestorage.googleapis.com/v0/b/klangsamong-e1d13.firebasestorage.app/o/covers%2FCover%20-%20KLANGSAMONG%20-%20A4_split_8_picked.png?alt=media&amp;token=d96f7f77-1727-4ca6-9032-fcb6b30b7d26', 'https://drive.google.com/file/d/1Fs7YRuNT7S1B5VA8TFzkahHJGrcPN86s/view?usp=drive_link', 'https://firebasestorage.googleapis.com/v0/b/klangsamong-e1d13.firebasestorage.app/o/samples%2F9_%E0%B8%9C%E0%B8%B1%E0%B8%81%E0%B8%AA%E0%B8%B8%E0%B8%82%E0%B8%A0%E0%B8%B2%E0%B8%9E%E0%B8%94%E0%B8%B5_picked_added_logo.png?alt=media&amp;token=8e983fa6-dba8-4edd-9c03-aaba08d86493',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</si>
  <si>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(56, 'เล่มที่ : 10 ยานพาหนะรอบเมือง',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'https://firebasestorage.googleapis.com/v0/b/klangsamong-e1d13.firebasestorage.app/o/covers%2FCover%20-%20KLANGSAMONG%20-%20A4_split_9_picked.png?alt=media&amp;token=6700bbae-eeba-448c-82b7-3d6e688936c9', 'https://drive.google.com/file/d/1VfMycyVjtE4hL9axq3Ouu0q65DCJZc7w/view?usp=drive_link', 'https://firebasestorage.googleapis.com/v0/b/klangsamong-e1d13.firebasestorage.app/o/samples%2F10_%E0%B8%A2%E0%B8%B2%E0%B8%99%E0%B8%9E%E0%B8%B2%E0%B8%AB%E0%B8%99%E0%B8%B0%E0%B8%A3%E0%B8%AD%E0%B8%9A%E0%B9%80%E0%B8%A1%E0%B8%B7%E0%B8%AD%E0%B8%87_picked_added_logo.png?alt=media&amp;token=0b7a638c-2521-4e6c-bd19-0e6282758c9f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</si>
  <si>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(57, 'เล่มที่ : 11 รถก่อสร้างคันใหญ่',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'https://firebasestorage.googleapis.com/v0/b/klangsamong-e1d13.firebasestorage.app/o/covers%2FCover%20-%20KLANGSAMONG%20-%20A4_split_10_picked.png?alt=media&amp;token=9355a645-9c01-4d5d-93ac-a75e26a3d76e', 'https://drive.google.com/file/d/1JYgu0LOPJYSovANyFd04312mG25A_Rc1/view?usp=drive_link', 'https://firebasestorage.googleapis.com/v0/b/klangsamong-e1d13.firebasestorage.app/o/samples%2F11_%E0%B8%A3%E0%B8%96%E0%B8%81%E0%B9%88%E0%B8%AD%E0%B8%AA%E0%B8%A3%E0%B9%89%E0%B8%B2%E0%B8%87%E0%B8%84%E0%B8%B1%E0%B8%99%E0%B9%83%E0%B8%AB%E0%B8%8D%E0%B9%88_picked_added_logo.png?alt=media&amp;token=ee3d05f3-c602-4ef4-a772-0ed401c4a2dc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</si>
  <si>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(58, 'เล่มที่ : 12 รูปทรงและลวดลาย',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'https://firebasestorage.googleapis.com/v0/b/klangsamong-e1d13.firebasestorage.app/o/covers%2FCover%20-%20KLANGSAMONG%20-%20A4_split_11_picked.png?alt=media&amp;token=867f818e-b769-4a1c-a981-fe9efefc49e0', 'https://drive.google.com/file/d/1aUTsBojojgBn6i3vYHlPHAQFmeZzLt6C/view?usp=drive_link', 'https://firebasestorage.googleapis.com/v0/b/klangsamong-e1d13.firebasestorage.app/o/samples%2F12_%E0%B8%A3%E0%B8%B9%E0%B8%9B%E0%B8%97%E0%B8%A3%E0%B8%87%E0%B9%81%E0%B8%A5%E0%B8%B0%E0%B8%A5%E0%B8%A7%E0%B8%94%E0%B8%A5%E0%B8%B2%E0%B8%A2_picked_added_logo.png?alt=media&amp;token=90a88223-f2a9-49ff-a521-a68011103797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</si>
  <si>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(59, 'เล่มที่ : 13 วันหยุดกับครอบครัว',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'https://firebasestorage.googleapis.com/v0/b/klangsamong-e1d13.firebasestorage.app/o/covers%2FCover%20-%20KLANGSAMONG%20-%20A4_split_13_picked.png?alt=media&amp;token=8c97da94-bf61-48a2-b816-20604e2a07f3', 'https://drive.google.com/file/d/1zfQHM54RbrQoUtDFZLymjOkUFERgrZJZ/view?usp=drive_link', 'https://firebasestorage.googleapis.com/v0/b/klangsamong-e1d13.firebasestorage.app/o/samples%2F13_%E0%B8%A7%E0%B8%B1%E0%B8%99%E0%B8%AB%E0%B8%A2%E0%B8%B8%E0%B8%94%E0%B8%81%E0%B8%B1%E0%B8%9A%E0%B8%84%E0%B8%A3%E0%B8%AD%E0%B8%9A%E0%B8%84%E0%B8%A3%E0%B8%B1%E0%B8%A7_picked_added_logo.png?alt=media&amp;token=39bfb4bd-9f6e-421a-94da-2d969b8e95ac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</si>
  <si>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(60, 'เล่มที่ : 14 สัตว์น่ารักรอบตัว',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'https://firebasestorage.googleapis.com/v0/b/klangsamong-e1d13.firebasestorage.app/o/covers%2FCover%20-%20KLANGSAMONG%20-%20A4_split_15_picked.png?alt=media&amp;token=fea69e47-4458-412c-9318-0171db0c34f1', 'https://drive.google.com/file/d/1XrKhScdx3fcq1wCxXHt3ktMFBnnUN4C_/view?usp=drive_link', 'https://firebasestorage.googleapis.com/v0/b/klangsamong-e1d13.firebasestorage.app/o/samples%2F14_%E0%B8%AA%E0%B8%B1%E0%B8%95%E0%B8%A7%E0%B9%8C%E0%B8%99%E0%B9%88%E0%B8%B2%E0%B8%A3%E0%B8%B1%E0%B8%81%E0%B8%A3%E0%B8%AD%E0%B8%9A%E0%B8%95%E0%B8%B1%E0%B8%A7_picked_added_logo.png?alt=media&amp;token=da4a6715-b33b-4360-a037-08a62dec81a7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</si>
  <si>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(61, 'เล่มที่ : 15 สัตว์ป่าแสนสนุก',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'https://firebasestorage.googleapis.com/v0/b/klangsamong-e1d13.firebasestorage.app/o/covers%2FCover%20-%20KLANGSAMONG%20-%20A4_split_16_picked.png?alt=media&amp;token=305e215d-9f66-4b52-8dae-381a72dbf210', 'https://drive.google.com/file/d/1GvVjIFOWA38QdKLFoCdVpjLFVW2kDyA2/view?usp=drive_link', 'https://firebasestorage.googleapis.com/v0/b/klangsamong-e1d13.firebasestorage.app/o/samples%2F15_%E0%B8%AA%E0%B8%B1%E0%B8%95%E0%B8%A7%E0%B9%8C%E0%B8%9B%E0%B9%88%E0%B8%B2%E0%B9%81%E0%B8%AA%E0%B8%99%E0%B8%AA%E0%B8%99%E0%B8%B8%E0%B8%81_picked_added_logo.png?alt=media&amp;token=90402327-5685-4324-b715-d608a20f0767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</si>
  <si>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(62, 'เล่มที่ : 16 สัตว์ใต้ทะเล',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'https://firebasestorage.googleapis.com/v0/b/klangsamong-e1d13.firebasestorage.app/o/covers%2FCover%20-%20KLANGSAMONG%20-%20A4_split_14_picked.png?alt=media&amp;token=482f56e3-2eb2-4576-8f01-1db9c53b91dd', 'https://drive.google.com/file/d/1KmfXjgvb37yBxjq2nxCEOe6Wof9gjMXh/view?usp=drive_link', 'https://firebasestorage.googleapis.com/v0/b/klangsamong-e1d13.firebasestorage.app/o/samples%2F16_%E0%B8%AA%E0%B8%B1%E0%B8%95%E0%B8%A7%E0%B9%8C%E0%B9%83%E0%B8%95%E0%B9%89%E0%B8%97%E0%B8%B0%E0%B9%80%E0%B8%A5_picked_added_logo.png?alt=media&amp;token=71f917ab-a14c-43a9-9f06-6763fef4b4a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</si>
  <si>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(63, 'เล่มที่ : 17 สัตว์ในฟาร์ม',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20%E0%B8%AA%E0%B8%B1%E0%B8%95%E0%B8%A7%E0%B9%8C%E0%B9%83%E0%B8%99%E0%B8%9F%E0%B8%B2%E0%B8%A3%E0%B9%8C%E0%B8%A1_picked.png?alt=media&amp;token=a13a8ecb-8bc7-43c3-845d-0f76367d28bc', 'https://drive.google.com/file/d/1NCGBfwPMUoxrlcDpvcvf9vfJFzkcB4wk/view?usp=drive_link', 'https://firebasestorage.googleapis.com/v0/b/klangsamong-e1d13.firebasestorage.app/o/samples%2F17_%E0%B8%AA%E0%B8%B1%E0%B8%95%E0%B8%A7%E0%B9%8C%E0%B9%83%E0%B8%99%E0%B8%9F%E0%B8%B2%E0%B8%A3%E0%B9%8C%E0%B8%A1_picked_added_logo.png?alt=media&amp;token=c4c38516-4aad-453e-9f63-4e920be82d0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</si>
  <si>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(64, 'เล่มที่ : 18 อาชีพในฝัน',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'https://firebasestorage.googleapis.com/v0/b/klangsamong-e1d13.firebasestorage.app/o/covers%2FCover%20-%20KLANGSAMONG%20-%20A4_split_17_picked.png?alt=media&amp;token=b77de9ba-8fbb-42af-8ddd-88acf8e6dd1b', 'https://drive.google.com/file/d/172xUtZomVXui9JsO0_1djEGNuHnnjB8p/view?usp=drive_link', 'https://firebasestorage.googleapis.com/v0/b/klangsamong-e1d13.firebasestorage.app/o/samples%2F18_%E0%B8%AD%E0%B8%B2%E0%B8%8A%E0%B8%B5%E0%B8%9E%E0%B9%83%E0%B8%99%E0%B8%9D%E0%B8%B1%E0%B8%99_picked_added_logo.png?alt=media&amp;token=e3c72a74-8e3a-42c5-8e40-c0ec203258c5',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</si>
  <si>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(65, 'เล่มที่ : 19 อาหารและขนมแสนน่ารัก', 'คลังสมอง', 'คลังสมอง KLANGSAMONG', 'สมุดระบายสีเด็ก', 159, 250, '20 หน้า', 'PDF', 'แนะนำ', 'https://firebasestorage.googleapis.com/v0/b/klangsamong-e1d13.firebasestorage.app/o/covers%2F1785422357051_Cover_-_KLANGSAMONG_-_A4_split_18_picked_reduce_size.png?alt=media', 'https://drive.google.com/file/d/1TKgsSFETybwUVNqoh17298O5w9_mVf_v/view?usp=drive_link', 'https://firebasestorage.googleapis.com/v0/b/klangsamong-e1d13.firebasestorage.app/o/samples%2F19_%E0%B8%AD%E0%B8%B2%E0%B8%AB%E0%B8%B2%E0%B8%A3%E0%B9%81%E0%B8%A5%E0%B8%B0%E0%B8%82%E0%B8%99%E0%B8%A1%E0%B9%81%E0%B8%AA%E0%B8%99%E0%B8%99%E0%B9%88%E0%B8%B2%E0%B8%A3%E0%B8%B1%E0%B8%81_picked_added_logo.png?alt=media&amp;token=d67cf391-83fa-400b-b4a5-67963eafba2b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</si>
  <si>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(66, 'เล่มที่ : 20 โรงเรียนแสนสุข', 'คลังสมอง', 'คลังสมอง KLANGSAMONG', 'สมุดระบายสีเด็ก', 159, 250, '20 หน้า', 'PDF', 'แนะนำ', 'https://firebasestorage.googleapis.com/v0/b/klangsamong-e1d13.firebasestorage.app/o/covers%2FCover%20-%20KLANGSAMONG%20-%20A4_split_12_picked.png?alt=media&amp;token=edeaf88f-9ded-4010-828c-4f6bc8f4d7e7', 'https://drive.google.com/file/d/1fagVzRRaUq17q2WPfrPFfC4a1PkvKE6p/view?usp=drive_link', 'https://firebasestorage.googleapis.com/v0/b/klangsamong-e1d13.firebasestorage.app/o/samples%2F20_%E0%B9%82%E0%B8%A3%E0%B8%87%E0%B9%80%E0%B8%A3%E0%B8%B5%E0%B8%A2%E0%B8%99%E0%B9%81%E0%B8%AA%E0%B8%99%E0%B8%AA%E0%B8%B8%E0%B8%82_picked_added_logo.png?alt=media&amp;token=31d70d46-7d38-49e8-a919-f35c1b49e59d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</si>
  <si>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(86, 'เล่มที่ : 21 ดินแดนขนมหวานแฟนตาซี',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21_cover.png?alt=media&amp;token=078ed518-10cd-4d68-b09c-3b145ec03934', 'https://drive.google.com/file/d/1N4-FPfvB_-UJm0Z7wivWXD_OKpluwweA/view?usp=sharing', 'https://firebasestorage.googleapis.com/v0/b/klangsamong-e1d13.firebasestorage.app/o/samples%2F%E0%B8%AA%E0%B8%A1%E0%B8%B8%E0%B8%94%E0%B8%A3%E0%B8%B0%E0%B8%9A%E0%B8%B2%E0%B8%A2%E0%B8%AA%E0%B8%B5%E0%B9%80%E0%B8%94%E0%B9%87%E0%B8%81%2F21_%E0%B8%94%E0%B8%B4%E0%B8%99%E0%B9%81%E0%B8%94%E0%B8%99%E0%B8%82%E0%B8%99%E0%B8%A1%E0%B8%AB%E0%B8%A7%E0%B8%B2%E0%B8%99%E0%B9%81%E0%B8%9F%E0%B8%99%E0%B8%95%E0%B8%B2%E0%B8%8B%E0%B8%B5.png?alt=media&amp;token=90bf98c9-a1ed-410a-96af-c47b7a7c7294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</si>
  <si>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(87, 'เล่มที่ : 22 นางเงือกใต้มหาสมุทร',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22_cover.png?alt=media&amp;token=6f0c09d5-82b2-47b4-9b18-4c5b932dedef', 'https://drive.google.com/file/d/1ch2I-e0Y-SneDoLgHN-1aWcx_dQT-Ukp/view?usp=sharing', 'https://firebasestorage.googleapis.com/v0/b/klangsamong-e1d13.firebasestorage.app/o/samples%2F%E0%B8%AA%E0%B8%A1%E0%B8%B8%E0%B8%94%E0%B8%A3%E0%B8%B0%E0%B8%9A%E0%B8%B2%E0%B8%A2%E0%B8%AA%E0%B8%B5%E0%B9%80%E0%B8%94%E0%B9%87%E0%B8%81%2F22_%E0%B8%99%E0%B8%B2%E0%B8%87%E0%B9%80%E0%B8%87%E0%B8%B7%E0%B8%AD%E0%B8%81%E0%B9%83%E0%B8%95%E0%B9%89%E0%B8%A1%E0%B8%AB%E0%B8%B2%E0%B8%AA%E0%B8%A1%E0%B8%B8%E0%B8%97%E0%B8%A3.png?alt=media&amp;token=a30e56dd-f5ab-4526-b553-b3e8ca14f66b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</si>
  <si>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(88, 'เล่มที่ : 23 ปาร์ตี้วันเกิดแสนสนุก',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23_cover.png?alt=media&amp;token=b7cd612c-3294-459b-924a-5f1de096f7cf', 'https://drive.google.com/file/d/1mmQU1QW3okFQa3w0PzpUd6ihvFWjkDJV/view?usp=sharing', 'https://firebasestorage.googleapis.com/v0/b/klangsamong-e1d13.firebasestorage.app/o/samples%2F%E0%B8%AA%E0%B8%A1%E0%B8%B8%E0%B8%94%E0%B8%A3%E0%B8%B0%E0%B8%9A%E0%B8%B2%E0%B8%A2%E0%B8%AA%E0%B8%B5%E0%B9%80%E0%B8%94%E0%B9%87%E0%B8%81%2F23_%E0%B8%9B%E0%B8%B2%E0%B8%A3%E0%B9%8C%E0%B8%95%E0%B8%B5%E0%B9%89%E0%B8%A7%E0%B8%B1%E0%B8%99%E0%B9%80%E0%B8%81%E0%B8%B4%E0%B8%94%E0%B9%81%E0%B8%AA%E0%B8%99%E0%B8%AA%E0%B8%99%E0%B8%B8%E0%B8%81.png?alt=media&amp;token=44f9b700-170b-4687-8395-cf50a85b3ed4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</si>
  <si>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(89, 'เล่มที่ : 24 พ่อมดและแม่มดน้อย',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24_cover.png?alt=media&amp;token=939bdca1-fe1d-47f0-9dd4-abb1a4da69a5', 'https://drive.google.com/file/d/1C5fUVmVayij1IcbRbZV4z0b9OEqjWnZ9/view?usp=sharing', 'https://firebasestorage.googleapis.com/v0/b/klangsamong-e1d13.firebasestorage.app/o/samples%2F%E0%B8%AA%E0%B8%A1%E0%B8%B8%E0%B8%94%E0%B8%A3%E0%B8%B0%E0%B8%9A%E0%B8%B2%E0%B8%A2%E0%B8%AA%E0%B8%B5%E0%B9%80%E0%B8%94%E0%B9%87%E0%B8%81%2F24_%E0%B8%9E%E0%B9%88%E0%B8%AD%E0%B8%A1%E0%B8%94%E0%B9%81%E0%B8%A5%E0%B8%B0%E0%B9%81%E0%B8%A1%E0%B9%88%E0%B8%A1%E0%B8%94%E0%B8%99%E0%B9%89%E0%B8%AD%E0%B8%A2.png?alt=media&amp;token=5eb5f7b4-1954-4a33-aed2-78d8c0064753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</si>
  <si>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(90, 'เล่มที่ : 25 ฤดูกาลทั้งสี่',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25_cover.png?alt=media&amp;token=fd20e8b3-d268-41eb-9b5b-a44ca68b7317', 'https://drive.google.com/file/d/1Uw0uCdTezIHJKE43FMjY0EppJKEALXex/view?usp=sharing', 'https://firebasestorage.googleapis.com/v0/b/klangsamong-e1d13.firebasestorage.app/o/samples%2F%E0%B8%AA%E0%B8%A1%E0%B8%B8%E0%B8%94%E0%B8%A3%E0%B8%B0%E0%B8%9A%E0%B8%B2%E0%B8%A2%E0%B8%AA%E0%B8%B5%E0%B9%80%E0%B8%94%E0%B9%87%E0%B8%81%2F25_%E0%B8%A4%E0%B8%94%E0%B8%B9%E0%B8%81%E0%B8%B2%E0%B8%A5%E0%B8%97%E0%B8%B1%E0%B9%89%E0%B8%87%E0%B8%AA%E0%B8%B5%E0%B9%88.png?alt=media&amp;token=ffac93b9-fb66-42cf-b2d0-449bebfbeffa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</si>
  <si>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(91, 'เล่มที่ : 26 สวนสนุกหรรษา',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26_cover.png?alt=media&amp;token=26b2afc3-3697-44ba-8d04-0804bd522a3f', 'https://drive.google.com/file/d/1h1YXBq2Rkez_7IlrXfCAMwNVXo5ItfcF/view?usp=sharing', 'https://firebasestorage.googleapis.com/v0/b/klangsamong-e1d13.firebasestorage.app/o/samples%2F%E0%B8%AA%E0%B8%A1%E0%B8%B8%E0%B8%94%E0%B8%A3%E0%B8%B0%E0%B8%9A%E0%B8%B2%E0%B8%A2%E0%B8%AA%E0%B8%B5%E0%B9%80%E0%B8%94%E0%B9%87%E0%B8%81%2F26_%E0%B8%AA%E0%B8%A7%E0%B8%99%E0%B8%AA%E0%B8%99%E0%B8%B8%E0%B8%81%E0%B8%AB%E0%B8%A3%E0%B8%A3%E0%B8%A9%E0%B8%B2.png?alt=media&amp;token=fe099c65-7705-4c5e-9faa-b1c723825a01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</si>
  <si>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(92, 'เล่มที่ : 27 สัตว์ประหลาดใจดี',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27_cover.png?alt=media&amp;token=48c90889-96e2-4eda-850f-2aa7dd85709d', 'https://drive.google.com/file/d/1sKOsZVxdw2t-m02q1E061cmyUDB6mnTF/view?usp=sharing', 'https://firebasestorage.googleapis.com/v0/b/klangsamong-e1d13.firebasestorage.app/o/samples%2F%E0%B8%AA%E0%B8%A1%E0%B8%B8%E0%B8%94%E0%B8%A3%E0%B8%B0%E0%B8%9A%E0%B8%B2%E0%B8%A2%E0%B8%AA%E0%B8%B5%E0%B9%80%E0%B8%94%E0%B9%87%E0%B8%81%2F27_%E0%B8%AA%E0%B8%B1%E0%B8%95%E0%B8%A7%E0%B9%8C%E0%B8%9B%E0%B8%A3%E0%B8%B0%E0%B8%AB%E0%B8%A5%E0%B8%B2%E0%B8%94%E0%B9%83%E0%B8%88%E0%B8%94%E0%B8%B5.png?alt=media&amp;token=4caa780a-507f-4365-9c91-6b0e2e2207b6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</si>
  <si>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(93, 'เล่มที่ : 28 สัตว์เลี้ยงตัวแรกแสนน่ารัก',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28_cover.png?alt=media&amp;token=480e70bf-61ad-43ec-9466-e5ab746e6017', 'https://drive.google.com/file/d/1G3oqcMBJf5mHgEdqPoyoczUiBFQhEvor/view?usp=sharing', 'https://firebasestorage.googleapis.com/v0/b/klangsamong-e1d13.firebasestorage.app/o/samples%2F%E0%B8%AA%E0%B8%A1%E0%B8%B8%E0%B8%94%E0%B8%A3%E0%B8%B0%E0%B8%9A%E0%B8%B2%E0%B8%A2%E0%B8%AA%E0%B8%B5%E0%B9%80%E0%B8%94%E0%B9%87%E0%B8%81%2F28_%E0%B8%AA%E0%B8%B1%E0%B8%95%E0%B8%A7%E0%B9%8C%E0%B9%80%E0%B8%A5%E0%B8%B5%E0%B9%89%E0%B8%A2%E0%B8%87%E0%B8%95%E0%B8%B1%E0%B8%A7%E0%B9%81%E0%B8%A3%E0%B8%81%E0%B9%81%E0%B8%AA%E0%B8%99%E0%B8%99%E0%B9%88%E0%B8%B2%E0%B8%A3%E0%B8%B1%E0%B8%81.png?alt=media&amp;token=e9f524a7-4e34-438b-b908-5537df9973e8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</si>
  <si>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(94, 'เล่มที่ : 29 เครื่องดนตรีและเสียงเพลง',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29_cover.png?alt=media&amp;token=c5e3a8b1-7c8e-42d6-8a4e-c8829e0e0566', 'https://drive.google.com/file/d/1wRHfe_QmU0NiMx3BCBxiCGZ7bF8_CiRw/view?usp=sharing', 'https://firebasestorage.googleapis.com/v0/b/klangsamong-e1d13.firebasestorage.app/o/samples%2F%E0%B8%AA%E0%B8%A1%E0%B8%B8%E0%B8%94%E0%B8%A3%E0%B8%B0%E0%B8%9A%E0%B8%B2%E0%B8%A2%E0%B8%AA%E0%B8%B5%E0%B9%80%E0%B8%94%E0%B9%87%E0%B8%81%2F29_%E0%B9%80%E0%B8%84%E0%B8%A3%E0%B8%B7%E0%B9%88%E0%B8%AD%E0%B8%87%E0%B8%94%E0%B8%99%E0%B8%95%E0%B8%A3%E0%B8%B5%E0%B9%81%E0%B8%A5%E0%B8%B0%E0%B9%80%E0%B8%AA%E0%B8%B5%E0%B8%A2%E0%B8%87%E0%B9%80%E0%B8%9E%E0%B8%A5%E0%B8%87.png?alt=media&amp;token=bc68b807-56a2-4655-a4f1-d86ba3312463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</si>
  <si>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(95, 'เล่มที่ : 30 เครื่องบินและบอลลูน',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30_cover.png?alt=media&amp;token=5baf589a-ae25-4ee5-a34c-ae3e59a717e5', 'https://drive.google.com/file/d/1QpDqxBrTcS6bCubvMb7rB5AIE4hMMwwc/view?usp=sharing', 'https://firebasestorage.googleapis.com/v0/b/klangsamong-e1d13.firebasestorage.app/o/samples%2F%E0%B8%AA%E0%B8%A1%E0%B8%B8%E0%B8%94%E0%B8%A3%E0%B8%B0%E0%B8%9A%E0%B8%B2%E0%B8%A2%E0%B8%AA%E0%B8%B5%E0%B9%80%E0%B8%94%E0%B9%87%E0%B8%81%2F30_%E0%B9%80%E0%B8%84%E0%B8%A3%E0%B8%B7%E0%B9%88%E0%B8%AD%E0%B8%87%E0%B8%9A%E0%B8%B4%E0%B8%99%E0%B9%81%E0%B8%A5%E0%B8%B0%E0%B8%9A%E0%B8%AD%E0%B8%A5%E0%B8%A5%E0%B8%B9%E0%B8%99.png?alt=media&amp;token=3e3fa5b6-3300-4ec6-a5ac-ab1c2116c80b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</si>
  <si>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(96, 'เล่มที่ : 31 เทพนิยายก่อนนอน',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31_cover.png?alt=media&amp;token=aa876b00-faad-4688-802c-f97dffce7ad7', 'https://drive.google.com/file/d/1-kWIzR69Lwp6Mjto1QYnes5jfXwRcsjQ/view?usp=sharing', 'https://firebasestorage.googleapis.com/v0/b/klangsamong-e1d13.firebasestorage.app/o/samples%2F%E0%B8%AA%E0%B8%A1%E0%B8%B8%E0%B8%94%E0%B8%A3%E0%B8%B0%E0%B8%9A%E0%B8%B2%E0%B8%A2%E0%B8%AA%E0%B8%B5%E0%B9%80%E0%B8%94%E0%B9%87%E0%B8%81%2F31_%E0%B9%80%E0%B8%97%E0%B8%9E%E0%B8%99%E0%B8%B4%E0%B8%A2%E0%B8%B2%E0%B8%A2%E0%B8%81%E0%B9%88%E0%B8%AD%E0%B8%99%E0%B8%99%E0%B8%AD%E0%B8%99.png?alt=media&amp;token=d91adf04-2ebe-4365-847b-28b6e2e220a4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</si>
  <si>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(97, 'เล่มที่ : 32 เทศกาลเฉลิมฉลองรอบโลก',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32_cover.png?alt=media&amp;token=0e309110-fd23-47cc-93b9-afe0496ae427', 'https://drive.google.com/file/d/1_1q6L3SEQ3Sff0wQnADzegJw5SqLdhW4/view?usp=sharing', 'https://firebasestorage.googleapis.com/v0/b/klangsamong-e1d13.firebasestorage.app/o/samples%2F%E0%B8%AA%E0%B8%A1%E0%B8%B8%E0%B8%94%E0%B8%A3%E0%B8%B0%E0%B8%9A%E0%B8%B2%E0%B8%A2%E0%B8%AA%E0%B8%B5%E0%B9%80%E0%B8%94%E0%B9%87%E0%B8%81%2F32_%E0%B9%80%E0%B8%97%E0%B8%A8%E0%B8%81%E0%B8%B2%E0%B8%A5%E0%B9%80%E0%B8%89%E0%B8%A5%E0%B8%B4%E0%B8%A1%E0%B8%89%E0%B8%A5%E0%B8%AD%E0%B8%87%E0%B8%A3%E0%B8%AD%E0%B8%9A%E0%B9%82%E0%B8%A5%E0%B8%81.png?alt=media&amp;token=d2fa9540-b638-4f9f-a5a0-77d88b6ef688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</si>
  <si>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(98, 'เล่มที่ : 33 เสื้อผ้าและแฟชั่นของฉัน',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33_cover.png?alt=media&amp;token=e02e81bd-92cc-4f30-b0d5-e95f5c1c1393', 'https://drive.google.com/file/d/19yPPKvyVg-rHkdrB8McHEZVg7euls4-B/view?usp=sharing', 'https://firebasestorage.googleapis.com/v0/b/klangsamong-e1d13.firebasestorage.app/o/samples%2F%E0%B8%AA%E0%B8%A1%E0%B8%B8%E0%B8%94%E0%B8%A3%E0%B8%B0%E0%B8%9A%E0%B8%B2%E0%B8%A2%E0%B8%AA%E0%B8%B5%E0%B9%80%E0%B8%94%E0%B9%87%E0%B8%81%2F33_%E0%B9%80%E0%B8%AA%E0%B8%B7%E0%B9%89%E0%B8%AD%E0%B8%9C%E0%B9%89%E0%B8%B2%E0%B9%81%E0%B8%A5%E0%B8%B0%E0%B9%81%E0%B8%9F%E0%B8%8A%E0%B8%B1%E0%B9%88%E0%B8%99%E0%B8%82%E0%B8%AD%E0%B8%87%E0%B8%89%E0%B8%B1%E0%B8%99.png?alt=media&amp;token=f4b4900f-f331-47a8-b368-1527343cf0f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</si>
  <si>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(99, 'เล่มที่ : 34 เอเลี่ยนเพื่อนรักจากต่างดาว',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34_cover.png?alt=media&amp;token=26d8e839-1384-4c6f-b99d-c019c8007a69', 'https://drive.google.com/file/d/1rhyp3HVq0xiKP0GkTIaAsc-pHan5wE-B/view?usp=sharing', 'https://firebasestorage.googleapis.com/v0/b/klangsamong-e1d13.firebasestorage.app/o/samples%2F%E0%B8%AA%E0%B8%A1%E0%B8%B8%E0%B8%94%E0%B8%A3%E0%B8%B0%E0%B8%9A%E0%B8%B2%E0%B8%A2%E0%B8%AA%E0%B8%B5%E0%B9%80%E0%B8%94%E0%B9%87%E0%B8%81%2F34_%E0%B9%80%E0%B8%AD%E0%B9%80%E0%B8%A5%E0%B8%B5%E0%B9%88%E0%B8%A2%E0%B8%99%E0%B9%80%E0%B8%9E%E0%B8%B7%E0%B9%88%E0%B8%AD%E0%B8%99%E0%B8%A3%E0%B8%B1%E0%B8%81%E0%B8%88%E0%B8%B2%E0%B8%81%E0%B8%95%E0%B9%88%E0%B8%B2%E0%B8%87%E0%B8%94%E0%B8%B2%E0%B8%A7.png?alt=media&amp;token=818cb0e9-c908-4742-8252-7fa4c376ca3f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</si>
  <si>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(100, 'เล่มที่ : 35 แคมป์ปิ้งในป่าใหญ่',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35_cover.png?alt=media&amp;token=7457becd-2b6b-41e5-b395-23e52890e1af', 'https://drive.google.com/file/d/1eyUdrsCJj7bBYshkEol6kFkXD5YNc3LZ/view?usp=sharing', 'https://firebasestorage.googleapis.com/v0/b/klangsamong-e1d13.firebasestorage.app/o/samples%2F%E0%B8%AA%E0%B8%A1%E0%B8%B8%E0%B8%94%E0%B8%A3%E0%B8%B0%E0%B8%9A%E0%B8%B2%E0%B8%A2%E0%B8%AA%E0%B8%B5%E0%B9%80%E0%B8%94%E0%B9%87%E0%B8%81%2F35_%E0%B9%81%E0%B8%84%E0%B8%A1%E0%B8%9B%E0%B9%8C%E0%B8%9B%E0%B8%B4%E0%B9%89%E0%B8%87%E0%B9%83%E0%B8%99%E0%B8%9B%E0%B9%88%E0%B8%B2%E0%B9%83%E0%B8%AB%E0%B8%8D%E0%B9%88.png?alt=media&amp;token=cbdbbb64-d4aa-4f7a-89e4-e80cb03a8ebf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</si>
  <si>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(101, 'เล่มที่ : 36 โจรสลัดล่าขุมทรัพย์',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36_cover.png?alt=media&amp;token=b730a81b-034c-4ee7-8ab3-bcbab9ee273b', 'https://drive.google.com/file/d/1IA2DJCQFJGWEZcZlPMkwNUVRBugS6GaH/view?usp=sharing', 'https://firebasestorage.googleapis.com/v0/b/klangsamong-e1d13.firebasestorage.app/o/samples%2F%E0%B8%AA%E0%B8%A1%E0%B8%B8%E0%B8%94%E0%B8%A3%E0%B8%B0%E0%B8%9A%E0%B8%B2%E0%B8%A2%E0%B8%AA%E0%B8%B5%E0%B9%80%E0%B8%94%E0%B9%87%E0%B8%81%2F36_%E0%B9%82%E0%B8%88%E0%B8%A3%E0%B8%AA%E0%B8%A5%E0%B8%B1%E0%B8%94%E0%B8%A5%E0%B9%88%E0%B8%B2%E0%B8%82%E0%B8%B8%E0%B8%A1%E0%B8%97%E0%B8%A3%E0%B8%B1%E0%B8%9E%E0%B8%A2%E0%B9%8C.png?alt=media&amp;token=efb08f55-d95e-48c1-a9d1-bebd8b079efd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</si>
  <si>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(102, 'เล่มที่ : 37 โรงละครสัตว์สุดตระการตา',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37_cover.png?alt=media&amp;token=d3ee7adc-35fb-4065-839a-ebfcb902222f', 'https://drive.google.com/file/d/1LWNG14BHzEwnAkJsBoj2mGNzbF5R_YIF/view?usp=sharing', 'https://firebasestorage.googleapis.com/v0/b/klangsamong-e1d13.firebasestorage.app/o/samples%2F%E0%B8%AA%E0%B8%A1%E0%B8%B8%E0%B8%94%E0%B8%A3%E0%B8%B0%E0%B8%9A%E0%B8%B2%E0%B8%A2%E0%B8%AA%E0%B8%B5%E0%B9%80%E0%B8%94%E0%B9%87%E0%B8%81%2F37_%E0%B9%82%E0%B8%A3%E0%B8%87%E0%B8%A5%E0%B8%B0%E0%B8%84%E0%B8%A3%E0%B8%AA%E0%B8%B1%E0%B8%95%E0%B8%A7%E0%B9%8C%E0%B8%AA%E0%B8%B8%E0%B8%94%E0%B8%95%E0%B8%A3%E0%B8%B0%E0%B8%81%E0%B8%B2%E0%B8%A3%E0%B8%95%E0%B8%B2.png?alt=media&amp;token=42f7c45d-c187-476e-bf65-ed9a3c831b5c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</si>
  <si>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(103, 'เล่มที่ : 38 โลกแห่งสัตว์น่ารักแฟนตาซี',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38_cover.png?alt=media&amp;token=c16d29eb-d9d0-472f-b242-88ea2753e074', 'https://drive.google.com/file/d/155cvVG0ieyHy3mOK69J_rkH4jJNxMZQh/view?usp=sharing', 'https://firebasestorage.googleapis.com/v0/b/klangsamong-e1d13.firebasestorage.app/o/samples%2F%E0%B8%AA%E0%B8%A1%E0%B8%B8%E0%B8%94%E0%B8%A3%E0%B8%B0%E0%B8%9A%E0%B8%B2%E0%B8%A2%E0%B8%AA%E0%B8%B5%E0%B9%80%E0%B8%94%E0%B9%87%E0%B8%81%2F38_%E0%B9%82%E0%B8%A5%E0%B8%81%E0%B9%81%E0%B8%AB%E0%B9%88%E0%B8%87%E0%B8%AA%E0%B8%B1%E0%B8%95%E0%B8%A7%E0%B9%8C%E0%B8%99%E0%B9%88%E0%B8%B2%E0%B8%A3%E0%B8%B1%E0%B8%81%E0%B9%81%E0%B8%9F%E0%B8%99%E0%B8%95%E0%B8%B2%E0%B8%8B%E0%B8%B5.png?alt=media&amp;token=3552cb79-b982-4ad7-84ec-d1022fddee0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</si>
  <si>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(104, 'เล่มที่ : 39 โลกใต้ดินสุดพิศวง',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39_cover.png?alt=media&amp;token=5fc82f28-3b06-4d0c-bcda-d530fc440f8d', 'https://drive.google.com/file/d/1pXm3UOPjPEGwYJA_beo-kwpuFJ5tueLC/view?usp=sharing', 'https://firebasestorage.googleapis.com/v0/b/klangsamong-e1d13.firebasestorage.app/o/samples%2F%E0%B8%AA%E0%B8%A1%E0%B8%B8%E0%B8%94%E0%B8%A3%E0%B8%B0%E0%B8%9A%E0%B8%B2%E0%B8%A2%E0%B8%AA%E0%B8%B5%E0%B9%80%E0%B8%94%E0%B9%87%E0%B8%81%2F39_%E0%B9%82%E0%B8%A5%E0%B8%81%E0%B9%83%E0%B8%95%E0%B9%89%E0%B8%94%E0%B8%B4%E0%B8%99%E0%B8%AA%E0%B8%B8%E0%B8%94%E0%B8%9E%E0%B8%B4%E0%B8%A8%E0%B8%A7%E0%B8%87.png?alt=media&amp;token=923f5d4c-53bb-401f-af77-23449ec690b0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</si>
  <si>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(105, 'เล่มที่ : 40 หุ่นยนต์เมืองอนาคต',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40_cover.png?alt=media&amp;token=412c038e-5d27-4599-80b9-a7f508aac675', 'https://drive.google.com/file/d/1hljbKLAnwA3O8ui8fDLm-ATNgSKbGAmS/view?usp=sharing', 'https://firebasestorage.googleapis.com/v0/b/klangsamong-e1d13.firebasestorage.app/o/samples%2F%E0%B8%AA%E0%B8%A1%E0%B8%B8%E0%B8%94%E0%B8%A3%E0%B8%B0%E0%B8%9A%E0%B8%B2%E0%B8%A2%E0%B8%AA%E0%B8%B5%E0%B9%80%E0%B8%94%E0%B9%87%E0%B8%81%2F40_sample.png?alt=media&amp;token=645961ea-2455-4651-8c94-fd149d9fdc88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</si>
  <si>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(106, 'เล่มที่ : 41 มังกรน้อยผู้กล้าหาญ',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41_cover.png?alt=media&amp;token=0328c7c9-47d4-4d5f-89ae-ae334ba88584', 'https://drive.google.com/file/d/1cVmhYZi8YvOjL9jJOpYvPBJ8Qr1uE4iE/view?usp=sharing', 'https://firebasestorage.googleapis.com/v0/b/klangsamong-e1d13.firebasestorage.app/o/samples%2F%E0%B8%AA%E0%B8%A1%E0%B8%B8%E0%B8%94%E0%B8%A3%E0%B8%B0%E0%B8%9A%E0%B8%B2%E0%B8%A2%E0%B8%AA%E0%B8%B5%E0%B9%80%E0%B8%94%E0%B9%87%E0%B8%81%2F41_sample.png?alt=media&amp;token=078fc58a-1d5f-40e2-9768-8bba2b1ba2b7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</si>
  <si>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(107, 'เล่มที่ : 42 ยูนิคอร์นและสายรุ้ง',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42_cover.png?alt=media&amp;token=09f55ebe-8eb7-42e4-8c4d-9e78e5f3eb58', 'https://drive.google.com/file/d/1SxExU2AqvL29Qgy_Ah2plRvPJk_vwsWy/view?usp=sharing', 'https://firebasestorage.googleapis.com/v0/b/klangsamong-e1d13.firebasestorage.app/o/samples%2F%E0%B8%AA%E0%B8%A1%E0%B8%B8%E0%B8%94%E0%B8%A3%E0%B8%B0%E0%B8%9A%E0%B8%B2%E0%B8%A2%E0%B8%AA%E0%B8%B5%E0%B9%80%E0%B8%94%E0%B9%87%E0%B8%81%2F42_sample.png?alt=media&amp;token=2c426376-0470-400d-a6b5-60499e35233f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</si>
  <si>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(108, 'เล่มที่ : 43 อวกาศมหัศจรรย์',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43_cover.png?alt=media&amp;token=9ef6adf7-2ab4-4679-9e0e-301a34afccbd', 'https://drive.google.com/file/d/1P3UXARIPpvSqNTC-YA_F18jUN63SAYP2/view?usp=sharing', 'https://firebasestorage.googleapis.com/v0/b/klangsamong-e1d13.firebasestorage.app/o/samples%2F%E0%B8%AA%E0%B8%A1%E0%B8%B8%E0%B8%94%E0%B8%A3%E0%B8%B0%E0%B8%9A%E0%B8%B2%E0%B8%A2%E0%B8%AA%E0%B8%B5%E0%B9%80%E0%B8%94%E0%B9%87%E0%B8%81%2F43_sample.png?alt=media&amp;token=e698ca72-82c5-45a3-a46e-26c54d0efd15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</si>
  <si>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(109, 'เล่มที่ : 44 เจ้าหญิงในโลกแฟนตาซี',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44_cover.png?alt=media&amp;token=04739670-f169-4fa8-b4f2-a1bd497dc4c9', 'https://drive.google.com/file/d/1a9SujHLjpjPd8adte0VrJ6eoA53oGsMG/view?usp=sharing', 'https://firebasestorage.googleapis.com/v0/b/klangsamong-e1d13.firebasestorage.app/o/samples%2F%E0%B8%AA%E0%B8%A1%E0%B8%B8%E0%B8%94%E0%B8%A3%E0%B8%B0%E0%B8%9A%E0%B8%B2%E0%B8%A2%E0%B8%AA%E0%B8%B5%E0%B9%80%E0%B8%94%E0%B9%87%E0%B8%81%2F44_sample.png?alt=media&amp;token=8edfd202-cb34-4192-a79d-21ec19b7936e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</si>
  <si>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(110, 'เล่มที่ : 45 ไดโนเสาร์ผจญภัย',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45_cover.png?alt=media&amp;token=97718816-487b-4171-9fe4-c96315e42231', 'https://drive.google.com/file/d/1lYBaL72qPyzbh7uqRQlYMfaklfZ0wFsz/view?usp=sharing', 'https://firebasestorage.googleapis.com/v0/b/klangsamong-e1d13.firebasestorage.app/o/samples%2F%E0%B8%AA%E0%B8%A1%E0%B8%B8%E0%B8%94%E0%B8%A3%E0%B8%B0%E0%B8%9A%E0%B8%B2%E0%B8%A2%E0%B8%AA%E0%B8%B5%E0%B9%80%E0%B8%94%E0%B9%87%E0%B8%81%2F45_sample.png?alt=media&amp;token=67b66014-a6c1-4f24-901a-7bacd267d810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</si>
  <si>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(111, 'เล่มที่ : 46 กิจวัตรประจำวันแสนสุข',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46_cover.png?alt=media&amp;token=5af5591a-7c48-4ad5-b9dd-c4f41c8d046c', 'https://drive.google.com/file/d/18l3ZHwvmQFOiO5n2s0pjdQJ2yCTbeBft/view?usp=sharing', 'https://firebasestorage.googleapis.com/v0/b/klangsamong-e1d13.firebasestorage.app/o/samples%2F%E0%B8%AA%E0%B8%A1%E0%B8%B8%E0%B8%94%E0%B8%A3%E0%B8%B0%E0%B8%9A%E0%B8%B2%E0%B8%A2%E0%B8%AA%E0%B8%B5%E0%B9%80%E0%B8%94%E0%B9%87%E0%B8%81%2F46_sample_reduce_size.png?alt=media&amp;token=6de8dc6f-be8a-4c6b-8e8e-3b2ee2031727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</si>
  <si>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(112, 'เล่มที่ : 47 นักสำรวจป่า',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47_cover.png?alt=media&amp;token=8a51b81e-b9e3-48be-89b6-02195bbc1728', 'https://drive.google.com/file/d/1t0rDo2bPDMZ_1oYwNupSQLAevM4Tt2_u/view?usp=sharing', 'https://firebasestorage.googleapis.com/v0/b/klangsamong-e1d13.firebasestorage.app/o/samples%2F%E0%B8%AA%E0%B8%A1%E0%B8%B8%E0%B8%94%E0%B8%A3%E0%B8%B0%E0%B8%9A%E0%B8%B2%E0%B8%A2%E0%B8%AA%E0%B8%B5%E0%B9%80%E0%B8%94%E0%B9%87%E0%B8%81%2F47_sample_reduce_size.png?alt=media&amp;token=b009cac8-a6b9-4cda-bc0c-237b01fc51da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</si>
  <si>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(113, 'เล่มที่ : 48 ปราสาทมหัศจรรย์',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48_cover.png?alt=media&amp;token=67c8fc50-d1ab-42a1-b5e7-d5f0ab970b88', 'https://drive.google.com/file/d/1SnL9l503uCOl5cVDB3BFWej-K_iYfUZN/view?usp=sharing', 'https://firebasestorage.googleapis.com/v0/b/klangsamong-e1d13.firebasestorage.app/o/samples%2F%E0%B8%AA%E0%B8%A1%E0%B8%B8%E0%B8%94%E0%B8%A3%E0%B8%B0%E0%B8%9A%E0%B8%B2%E0%B8%A2%E0%B8%AA%E0%B8%B5%E0%B9%80%E0%B8%94%E0%B9%87%E0%B8%81%2F48_sample_reduce_size.png?alt=media&amp;token=bdd19127-88f7-4a6d-a4ec-306bf11d5c49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</si>
  <si>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(114, 'เล่มที่ : 49 ฤดูกาลมหัศจรรย์',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49_cover.png?alt=media&amp;token=7e767060-8a9b-435b-9991-bed614454069', 'https://drive.google.com/file/d/1RChtBC53SK2L-SNKOI0we3Zo6w6JOCTg/view?usp=sharing', 'https://firebasestorage.googleapis.com/v0/b/klangsamong-e1d13.firebasestorage.app/o/samples%2F%E0%B8%AA%E0%B8%A1%E0%B8%B8%E0%B8%94%E0%B8%A3%E0%B8%B0%E0%B8%9A%E0%B8%B2%E0%B8%A2%E0%B8%AA%E0%B8%B5%E0%B9%80%E0%B8%94%E0%B9%87%E0%B8%81%2F49_sample_reduce_size.png?alt=media&amp;token=798656f6-2c3d-4c27-aa8e-190b6cc448cd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</si>
  <si>
    <t>INSERT INTO books (id, title, author_name, publisher, category, price, original_price, pages_count, file_type, badge, cover_image_url, file_path, sample_file_path, description) VALUES (115, 'เล่มที่ : 50 สัตว์โลกยุคน้ำแข็ง', 'คลังสมอง', 'คลังสมอง KLANGSAMONG', 'สมุดระบายสีเด็ก', 159, 199, '20 หน้า', 'PDF', 'แนะนำ', 'https://firebasestorage.googleapis.com/v0/b/klangsamong-e1d13.firebasestorage.app/o/covers%2F%E0%B8%AA%E0%B8%A1%E0%B8%B8%E0%B8%94%E0%B8%A3%E0%B8%B0%E0%B8%9A%E0%B8%B2%E0%B8%A2%E0%B8%AA%E0%B8%B5%E0%B9%80%E0%B8%94%E0%B9%87%E0%B8%81%2F50_cover.png?alt=media&amp;token=2f69e921-4198-432a-893b-1c645d67b7cd', 'https://drive.google.com/file/d/1pnmP02tZgCni36cyk-I5ag36UiT76VYc/view?usp=sharing', 'https://firebasestorage.googleapis.com/v0/b/klangsamong-e1d13.firebasestorage.app/o/samples%2F%E0%B8%AA%E0%B8%A1%E0%B8%B8%E0%B8%94%E0%B8%A3%E0%B8%B0%E0%B8%9A%E0%B8%B2%E0%B8%A2%E0%B8%AA%E0%B8%B5%E0%B9%80%E0%B8%94%E0%B9%87%E0%B8%81%2F50_sample_reduce_size.png?alt=media&amp;token=a86247c5-e588-4ef4-9f9e-c2edb9d20e5b', 'สมุดระบายสีเสริมสร้างจินตนาการ ลายเส้นคมชัด ระบายง่าย สำหรับเด็กอนุบาล - ประถม') ON DUPLICATE KEY UPDATE title = VALUES(title), author_name = VALUES(author_name), publisher = VALUES(publisher), category = VALUES(category), price = VALUES(price), original_price = VALUES(original_price), pages_count = VALUES(pages_count), file_type = VALUES(file_type), badge = VALUES(badge), cover_image_url = VALUES(cover_image_url), file_path = VALUES(file_path), sample_file_path = VALUES(sample_file_path), description = VALUES(description);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</si>
</sst>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1E293B"/>
      <name val="Segoe UI"/>
    </font>
    <font>
      <b/>
      <sz val="11"/>
      <name val="Segoe UI"/>
    </font>
    <font>
      <sz val="10"/>
      <color rgb="FF0F766E"/>
      <name val="Consolas"/>
    </font>
    <font>
      <b/>
      <sz val="11"/>
      <color rgb="FFFFFFFF"/>
      <name val="Segoe UI"/>
    </font>
    <font>
      <sz val="10"/>
      <name val="Segoe UI"/>
    </font>
    <font>
      <b/>
      <sz val="11"/>
      <color rgb="FF0F172A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EF08A"/>
        <bgColor rgb="FFFEF08A"/>
      </patternFill>
    </fill>
    <fill>
      <patternFill patternType="solid">
        <fgColor rgb="FFF0FDFA"/>
        <bgColor rgb="FFF0FDFA"/>
      </patternFill>
    </fill>
    <fill>
      <patternFill patternType="solid">
        <fgColor rgb="FF0284C7"/>
        <bgColor rgb="FF0284C7"/>
      </patternFill>
    </fill>
    <fill>
      <patternFill patternType="solid">
        <fgColor rgb="FF0D9488"/>
        <bgColor rgb="FF0D9488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4" fillId="4" borderId="1" xfId="0" applyFont="1" applyFill="1" applyBorder="1"/>
    <xf numFmtId="0" fontId="0" fillId="0" borderId="1" xfId="0" applyBorder="1"/>
    <xf numFmtId="0" fontId="3" fillId="3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0" fillId="4" borderId="1" xfId="0" applyFill="1" applyBorder="1"/>
    <xf numFmtId="0" fontId="4" fillId="4" borderId="1" xfId="0" applyFont="1" applyFill="1" applyBorder="1" applyAlignment="1">
      <alignment horizontal="left" vertical="top"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C10" sqref="C10"/>
    </sheetView>
  </sheetViews>
  <sheetFormatPr defaultRowHeight="14.4" x14ac:dyDescent="0.3"/>
  <cols>
    <col min="1" max="1" width="30" customWidth="1"/>
    <col min="2" max="2" width="25" customWidth="1"/>
    <col min="3" max="3" width="26" customWidth="1"/>
    <col min="4" max="4" width="24" customWidth="1"/>
    <col min="5" max="5" width="45" customWidth="1"/>
    <col min="6" max="6" width="29" customWidth="1"/>
    <col min="7" max="7" width="27" customWidth="1"/>
    <col min="8" max="8" width="26" customWidth="1"/>
    <col min="9" max="9" width="45" customWidth="1"/>
    <col min="10" max="10" width="57" customWidth="1"/>
    <col min="11" max="11" width="30" customWidth="1"/>
    <col min="12" max="14" width="45" customWidth="1"/>
  </cols>
  <sheetData>
    <row r="1" spans="1:14" ht="40.049999999999997" customHeight="1" x14ac:dyDescent="0.3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2" x14ac:dyDescent="0.45">
      <c r="A2" s="1" t="s">
        <v>1</v>
      </c>
    </row>
    <row r="3" spans="1:14" ht="16.8" x14ac:dyDescent="0.4">
      <c r="A3" s="15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4" ht="75" customHeight="1" x14ac:dyDescent="0.3">
      <c r="A4" s="13" t="str">
        <f>"INSERT INTO books (title, author_name, publisher, category, price, original_price, pages_count, file_type, badge, cover_image_url, file_path, sample_file_path, description)" &amp; CHAR(10) &amp; "VALUES " &amp; CHAR(10) &amp; _xlfn.TEXTJOIN("," &amp; CHAR(10), TRUE, N6:N55) &amp; ";"</f>
        <v>INSERT INTO books (title, author_name, publisher, category, price, original_price, pages_count, file_type, badge, cover_image_url, file_path, sample_file_path, description)
VALUES 
('สมุดระบายสีสัตว์น่ารัก เล่ม 1', 'คลังสมอง', 'คลังสมอง KLANGSAMONG', 'สมุดระบายสีเด็ก', 49, 99, '30 หน้า', 'PDF', 'ขายดี', 'https://firebasestorage.googleapis.com/.../cover1.jpg', 'https://firebasestorage.googleapis.com/.../book1.pdf', 'https://firebasestorage.googleapis.com/.../sample1.pdf', 'แบบฝึกหัดระบายสีสำหรับเด็กปฐมวัย เสริมสร้างพัฒนาการ'),
('ชีทคณิตศาสตร์ คิดเลขเร็ว เล่ม 1', 'คลังสมอง', 'คลังสมอง KLANGSAMONG', 'คณิตศาสตร์', 59, 129, '45 หน้า', 'PDF', 'แนะนำ', 'https://firebasestorage.googleapis.com/.../cover2.jpg', 'https://firebasestorage.googleapis.com/.../book2.pdf', 'https://firebasestorage.googleapis.com/.../sample2.pdf', 'แบบฝึกหัดคิดเลขเร็ว บวก ลบ เลข 2 หลัก สำหรับเด็กประถม'),
('แฟลชการ์ด คำศัพท์ภาษาอังกฤษ 100 คำ', 'คลังสมอง', 'คลังสมอง KLANGSAMONG', 'แฟลชการ์ด', 39, 79, '50 การ์ด', 'PDF', 'มาใหม่', '', '', '', 'แฟลชการ์ดคำศัพท์ภาษาอังกฤษพร้อมรูปภาพประกอบน่ารัก');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28.05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3" t="s">
        <v>16</v>
      </c>
    </row>
    <row r="6" spans="1:14" ht="22.05" customHeight="1" x14ac:dyDescent="0.35">
      <c r="A6" s="4" t="s">
        <v>17</v>
      </c>
      <c r="B6" s="4" t="s">
        <v>18</v>
      </c>
      <c r="C6" s="4" t="s">
        <v>19</v>
      </c>
      <c r="D6" s="4" t="s">
        <v>20</v>
      </c>
      <c r="E6" s="4">
        <v>49</v>
      </c>
      <c r="F6" s="4">
        <v>99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27</v>
      </c>
      <c r="N6" s="5" t="str">
        <f t="shared" ref="N6:N37" si="0">IF(ISBLANK(A6), "", "('" &amp; SUBSTITUTE(A6, "'", "''") &amp; "', '" &amp; SUBSTITUTE(B6, "'", "''") &amp; "', '" &amp; SUBSTITUTE(C6, "'", "''") &amp; "', '" &amp; SUBSTITUTE(D6, "'", "''") &amp; "', " &amp; IF(ISBLANK(E6), "0", E6) &amp; ", " &amp; IF(ISBLANK(F6), "NULL", F6) &amp; ", '" &amp; SUBSTITUTE(G6, "'", "''") &amp; "', '" &amp; SUBSTITUTE(H6, "'", "''") &amp; "', '" &amp; SUBSTITUTE(I6, "'", "''") &amp; "', '" &amp; SUBSTITUTE(J6, "'", "''") &amp; "', '" &amp; SUBSTITUTE(K6, "'", "''") &amp; "', '" &amp; SUBSTITUTE(L6, "'", "''") &amp; "', '" &amp; SUBSTITUTE(M6, "'", "''") &amp; "')")</f>
        <v>('สมุดระบายสีสัตว์น่ารัก เล่ม 1', 'คลังสมอง', 'คลังสมอง KLANGSAMONG', 'สมุดระบายสีเด็ก', 49, 99, '30 หน้า', 'PDF', 'ขายดี', 'https://firebasestorage.googleapis.com/.../cover1.jpg', 'https://firebasestorage.googleapis.com/.../book1.pdf', 'https://firebasestorage.googleapis.com/.../sample1.pdf', 'แบบฝึกหัดระบายสีสำหรับเด็กปฐมวัย เสริมสร้างพัฒนาการ')</v>
      </c>
    </row>
    <row r="7" spans="1:14" ht="22.05" customHeight="1" x14ac:dyDescent="0.35">
      <c r="A7" s="4" t="s">
        <v>28</v>
      </c>
      <c r="B7" s="4" t="s">
        <v>18</v>
      </c>
      <c r="C7" s="4" t="s">
        <v>19</v>
      </c>
      <c r="D7" s="4" t="s">
        <v>29</v>
      </c>
      <c r="E7" s="4">
        <v>59</v>
      </c>
      <c r="F7" s="4">
        <v>129</v>
      </c>
      <c r="G7" s="4" t="s">
        <v>30</v>
      </c>
      <c r="H7" s="4" t="s">
        <v>22</v>
      </c>
      <c r="I7" s="4" t="s">
        <v>31</v>
      </c>
      <c r="J7" s="4" t="s">
        <v>32</v>
      </c>
      <c r="K7" s="4" t="s">
        <v>33</v>
      </c>
      <c r="L7" s="4" t="s">
        <v>34</v>
      </c>
      <c r="M7" s="4" t="s">
        <v>35</v>
      </c>
      <c r="N7" s="5" t="str">
        <f t="shared" si="0"/>
        <v>('ชีทคณิตศาสตร์ คิดเลขเร็ว เล่ม 1', 'คลังสมอง', 'คลังสมอง KLANGSAMONG', 'คณิตศาสตร์', 59, 129, '45 หน้า', 'PDF', 'แนะนำ', 'https://firebasestorage.googleapis.com/.../cover2.jpg', 'https://firebasestorage.googleapis.com/.../book2.pdf', 'https://firebasestorage.googleapis.com/.../sample2.pdf', 'แบบฝึกหัดคิดเลขเร็ว บวก ลบ เลข 2 หลัก สำหรับเด็กประถม')</v>
      </c>
    </row>
    <row r="8" spans="1:14" ht="22.05" customHeight="1" x14ac:dyDescent="0.35">
      <c r="A8" s="4" t="s">
        <v>36</v>
      </c>
      <c r="B8" s="4" t="s">
        <v>18</v>
      </c>
      <c r="C8" s="4" t="s">
        <v>19</v>
      </c>
      <c r="D8" s="4" t="s">
        <v>37</v>
      </c>
      <c r="E8" s="4">
        <v>39</v>
      </c>
      <c r="F8" s="4">
        <v>79</v>
      </c>
      <c r="G8" s="4" t="s">
        <v>38</v>
      </c>
      <c r="H8" s="4" t="s">
        <v>22</v>
      </c>
      <c r="I8" s="4" t="s">
        <v>39</v>
      </c>
      <c r="J8" s="4"/>
      <c r="K8" s="4"/>
      <c r="L8" s="4"/>
      <c r="M8" s="4" t="s">
        <v>40</v>
      </c>
      <c r="N8" s="5" t="str">
        <f t="shared" si="0"/>
        <v>('แฟลชการ์ด คำศัพท์ภาษาอังกฤษ 100 คำ', 'คลังสมอง', 'คลังสมอง KLANGSAMONG', 'แฟลชการ์ด', 39, 79, '50 การ์ด', 'PDF', 'มาใหม่', '', '', '', 'แฟลชการ์ดคำศัพท์ภาษาอังกฤษพร้อมรูปภาพประกอบน่ารัก')</v>
      </c>
    </row>
    <row r="9" spans="1:14" ht="22.0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5" t="str">
        <f t="shared" si="0"/>
        <v/>
      </c>
    </row>
    <row r="10" spans="1:14" ht="22.0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" t="str">
        <f t="shared" si="0"/>
        <v/>
      </c>
    </row>
    <row r="11" spans="1:14" ht="22.0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tr">
        <f t="shared" si="0"/>
        <v/>
      </c>
    </row>
    <row r="12" spans="1:14" ht="22.0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 t="str">
        <f t="shared" si="0"/>
        <v/>
      </c>
    </row>
    <row r="13" spans="1:14" ht="22.0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 t="str">
        <f t="shared" si="0"/>
        <v/>
      </c>
    </row>
    <row r="14" spans="1:14" ht="22.0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 t="str">
        <f t="shared" si="0"/>
        <v/>
      </c>
    </row>
    <row r="15" spans="1:14" ht="22.0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 t="str">
        <f t="shared" si="0"/>
        <v/>
      </c>
    </row>
    <row r="16" spans="1:14" ht="22.0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 t="str">
        <f t="shared" si="0"/>
        <v/>
      </c>
    </row>
    <row r="17" spans="1:14" ht="22.0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 t="str">
        <f t="shared" si="0"/>
        <v/>
      </c>
    </row>
    <row r="18" spans="1:14" ht="22.0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 t="str">
        <f t="shared" si="0"/>
        <v/>
      </c>
    </row>
    <row r="19" spans="1:14" ht="22.0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 t="str">
        <f t="shared" si="0"/>
        <v/>
      </c>
    </row>
    <row r="20" spans="1:14" ht="22.0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 t="str">
        <f t="shared" si="0"/>
        <v/>
      </c>
    </row>
    <row r="21" spans="1:14" ht="22.0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5" t="str">
        <f t="shared" si="0"/>
        <v/>
      </c>
    </row>
    <row r="22" spans="1:14" ht="22.0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 t="str">
        <f t="shared" si="0"/>
        <v/>
      </c>
    </row>
    <row r="23" spans="1:14" ht="22.0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5" t="str">
        <f t="shared" si="0"/>
        <v/>
      </c>
    </row>
    <row r="24" spans="1:14" ht="22.0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 t="str">
        <f t="shared" si="0"/>
        <v/>
      </c>
    </row>
    <row r="25" spans="1:14" ht="22.0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 t="str">
        <f t="shared" si="0"/>
        <v/>
      </c>
    </row>
    <row r="26" spans="1:14" ht="22.0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 t="str">
        <f t="shared" si="0"/>
        <v/>
      </c>
    </row>
    <row r="27" spans="1:14" ht="22.0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 t="str">
        <f t="shared" si="0"/>
        <v/>
      </c>
    </row>
    <row r="28" spans="1:14" ht="22.0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 t="str">
        <f t="shared" si="0"/>
        <v/>
      </c>
    </row>
    <row r="29" spans="1:14" ht="22.0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 t="str">
        <f t="shared" si="0"/>
        <v/>
      </c>
    </row>
    <row r="30" spans="1:14" ht="22.0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 t="str">
        <f t="shared" si="0"/>
        <v/>
      </c>
    </row>
    <row r="31" spans="1:14" ht="22.0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 t="str">
        <f t="shared" si="0"/>
        <v/>
      </c>
    </row>
    <row r="32" spans="1:14" ht="22.0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 t="str">
        <f t="shared" si="0"/>
        <v/>
      </c>
    </row>
    <row r="33" spans="1:14" ht="22.0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 t="str">
        <f t="shared" si="0"/>
        <v/>
      </c>
    </row>
    <row r="34" spans="1:14" ht="22.0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 t="str">
        <f t="shared" si="0"/>
        <v/>
      </c>
    </row>
    <row r="35" spans="1:14" ht="22.0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 t="str">
        <f t="shared" si="0"/>
        <v/>
      </c>
    </row>
    <row r="36" spans="1:14" ht="22.0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 t="str">
        <f t="shared" si="0"/>
        <v/>
      </c>
    </row>
    <row r="37" spans="1:14" ht="22.0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 t="str">
        <f t="shared" si="0"/>
        <v/>
      </c>
    </row>
    <row r="38" spans="1:14" ht="22.0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 t="str">
        <f t="shared" ref="N38:N69" si="1">IF(ISBLANK(A38), "", "('" &amp; SUBSTITUTE(A38, "'", "''") &amp; "', '" &amp; SUBSTITUTE(B38, "'", "''") &amp; "', '" &amp; SUBSTITUTE(C38, "'", "''") &amp; "', '" &amp; SUBSTITUTE(D38, "'", "''") &amp; "', " &amp; IF(ISBLANK(E38), "0", E38) &amp; ", " &amp; IF(ISBLANK(F38), "NULL", F38) &amp; ", '" &amp; SUBSTITUTE(G38, "'", "''") &amp; "', '" &amp; SUBSTITUTE(H38, "'", "''") &amp; "', '" &amp; SUBSTITUTE(I38, "'", "''") &amp; "', '" &amp; SUBSTITUTE(J38, "'", "''") &amp; "', '" &amp; SUBSTITUTE(K38, "'", "''") &amp; "', '" &amp; SUBSTITUTE(L38, "'", "''") &amp; "', '" &amp; SUBSTITUTE(M38, "'", "''") &amp; "')")</f>
        <v/>
      </c>
    </row>
    <row r="39" spans="1:14" ht="22.0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 t="str">
        <f t="shared" si="1"/>
        <v/>
      </c>
    </row>
    <row r="40" spans="1:14" ht="22.0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 t="str">
        <f t="shared" si="1"/>
        <v/>
      </c>
    </row>
    <row r="41" spans="1:14" ht="22.0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 t="str">
        <f t="shared" si="1"/>
        <v/>
      </c>
    </row>
    <row r="42" spans="1:14" ht="22.0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 t="str">
        <f t="shared" si="1"/>
        <v/>
      </c>
    </row>
    <row r="43" spans="1:14" ht="22.0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 t="str">
        <f t="shared" si="1"/>
        <v/>
      </c>
    </row>
    <row r="44" spans="1:14" ht="22.0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 t="str">
        <f t="shared" si="1"/>
        <v/>
      </c>
    </row>
    <row r="45" spans="1:14" ht="22.0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 t="str">
        <f t="shared" si="1"/>
        <v/>
      </c>
    </row>
    <row r="46" spans="1:14" ht="22.0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 t="str">
        <f t="shared" si="1"/>
        <v/>
      </c>
    </row>
    <row r="47" spans="1:14" ht="22.0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 t="str">
        <f t="shared" si="1"/>
        <v/>
      </c>
    </row>
    <row r="48" spans="1:14" ht="22.0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 t="str">
        <f t="shared" si="1"/>
        <v/>
      </c>
    </row>
    <row r="49" spans="1:14" ht="22.0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 t="str">
        <f t="shared" si="1"/>
        <v/>
      </c>
    </row>
    <row r="50" spans="1:14" ht="22.0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 t="str">
        <f t="shared" si="1"/>
        <v/>
      </c>
    </row>
    <row r="51" spans="1:14" ht="22.0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 t="str">
        <f t="shared" si="1"/>
        <v/>
      </c>
    </row>
    <row r="52" spans="1:14" ht="22.0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 t="str">
        <f t="shared" si="1"/>
        <v/>
      </c>
    </row>
    <row r="53" spans="1:14" ht="22.0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 t="str">
        <f t="shared" si="1"/>
        <v/>
      </c>
    </row>
    <row r="54" spans="1:14" ht="22.0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 t="str">
        <f t="shared" si="1"/>
        <v/>
      </c>
    </row>
    <row r="55" spans="1:14" ht="22.0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 t="str">
        <f t="shared" si="1"/>
        <v/>
      </c>
    </row>
  </sheetData>
  <mergeCells count="3">
    <mergeCell ref="A4:N4"/>
    <mergeCell ref="A3:M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zoomScale="70" zoomScaleNormal="70" workbookViewId="0">
      <selection activeCell="B21" sqref="B21"/>
    </sheetView>
  </sheetViews>
  <sheetFormatPr defaultRowHeight="14.4" x14ac:dyDescent="0.3"/>
  <cols>
    <col min="1" max="1" width="30" customWidth="1"/>
    <col min="2" max="2" width="48" customWidth="1"/>
    <col min="3" max="3" width="25" customWidth="1"/>
    <col min="4" max="4" width="26" customWidth="1"/>
    <col min="5" max="5" width="45" customWidth="1"/>
    <col min="6" max="6" width="19" customWidth="1"/>
    <col min="7" max="7" width="29" customWidth="1"/>
    <col min="8" max="8" width="27" customWidth="1"/>
    <col min="9" max="9" width="45" customWidth="1"/>
    <col min="10" max="10" width="19" customWidth="1"/>
    <col min="11" max="11" width="30" customWidth="1"/>
    <col min="12" max="15" width="45" customWidth="1"/>
  </cols>
  <sheetData>
    <row r="1" spans="1:15" ht="40.049999999999997" customHeight="1" x14ac:dyDescent="0.3">
      <c r="A1" s="16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9.2" x14ac:dyDescent="0.45">
      <c r="A2" s="1" t="s">
        <v>42</v>
      </c>
    </row>
    <row r="3" spans="1:15" ht="25.05" customHeight="1" x14ac:dyDescent="0.3">
      <c r="A3" s="7" t="s">
        <v>43</v>
      </c>
      <c r="B3" s="8" t="s">
        <v>44</v>
      </c>
      <c r="C3" s="9" t="s">
        <v>45</v>
      </c>
      <c r="D3" s="9" t="s">
        <v>45</v>
      </c>
      <c r="E3" s="8" t="s">
        <v>44</v>
      </c>
      <c r="F3" s="8" t="s">
        <v>44</v>
      </c>
      <c r="G3" s="8" t="s">
        <v>44</v>
      </c>
      <c r="H3" s="9" t="s">
        <v>45</v>
      </c>
      <c r="I3" s="9" t="s">
        <v>45</v>
      </c>
      <c r="J3" s="9" t="s">
        <v>45</v>
      </c>
      <c r="K3" s="8" t="s">
        <v>44</v>
      </c>
      <c r="L3" s="8" t="s">
        <v>44</v>
      </c>
      <c r="M3" s="9" t="s">
        <v>45</v>
      </c>
      <c r="N3" s="9" t="s">
        <v>45</v>
      </c>
      <c r="O3" s="7" t="s">
        <v>46</v>
      </c>
    </row>
    <row r="4" spans="1:15" ht="28.05" customHeight="1" x14ac:dyDescent="0.3">
      <c r="A4" s="2" t="s">
        <v>47</v>
      </c>
      <c r="B4" s="2" t="s">
        <v>48</v>
      </c>
      <c r="C4" s="2" t="s">
        <v>4</v>
      </c>
      <c r="D4" s="2" t="s">
        <v>5</v>
      </c>
      <c r="E4" s="2" t="s">
        <v>49</v>
      </c>
      <c r="F4" s="2" t="s">
        <v>50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51</v>
      </c>
      <c r="N4" s="2" t="s">
        <v>15</v>
      </c>
      <c r="O4" s="3" t="s">
        <v>52</v>
      </c>
    </row>
    <row r="5" spans="1:15" ht="22.05" customHeight="1" x14ac:dyDescent="0.35">
      <c r="A5" s="4">
        <v>1</v>
      </c>
      <c r="B5" s="4" t="s">
        <v>53</v>
      </c>
      <c r="C5" s="4"/>
      <c r="D5" s="4"/>
      <c r="E5" s="4" t="s">
        <v>20</v>
      </c>
      <c r="F5" s="4">
        <v>39</v>
      </c>
      <c r="G5" s="4">
        <v>89</v>
      </c>
      <c r="H5" s="4"/>
      <c r="I5" s="4"/>
      <c r="J5" s="4"/>
      <c r="K5" s="4" t="s">
        <v>54</v>
      </c>
      <c r="L5" s="4" t="s">
        <v>55</v>
      </c>
      <c r="M5" s="4"/>
      <c r="N5" s="4"/>
      <c r="O5" s="5" t="str">
        <f t="shared" ref="O5:O36" si="0">IF(ISBLANK(A5), "", "UPDATE books SET " &amp; _xlfn.TEXTJOIN(", ", TRUE, IF(AND(B$3="YES", NOT(ISBLANK(B5))), "title='" &amp; SUBSTITUTE(B5, "'", "''") &amp; "'", ""), IF(AND(C$3="YES", NOT(ISBLANK(C5))), "author_name='" &amp; SUBSTITUTE(C5, "'", "''") &amp; "'", ""), IF(AND(D$3="YES", NOT(ISBLANK(D5))), "publisher='" &amp; SUBSTITUTE(D5, "'", "''") &amp; "'", ""), IF(AND(E$3="YES", NOT(ISBLANK(E5))), "category='" &amp; SUBSTITUTE(E5, "'", "''") &amp; "'", ""), IF(AND(F$3="YES", NOT(ISBLANK(F5))), "price=" &amp; F5, ""), IF(AND(G$3="YES", NOT(ISBLANK(G5))), "original_price=" &amp; G5, ""), IF(AND(H$3="YES", NOT(ISBLANK(H5))), "pages_count='" &amp; SUBSTITUTE(H5, "'", "''") &amp; "'", ""), IF(AND(I$3="YES", NOT(ISBLANK(I5))), "file_type='" &amp; SUBSTITUTE(I5, "'", "''") &amp; "'", ""), IF(AND(J$3="YES", NOT(ISBLANK(J5))), "badge='" &amp; SUBSTITUTE(J5, "'", "''") &amp; "'", ""), IF(AND(K$3="YES", NOT(ISBLANK(K5))), "cover_image_url='" &amp; SUBSTITUTE(K5, "'", "''") &amp; "'", ""), IF(AND(L$3="YES", NOT(ISBLANK(L5))), "file_path='" &amp; SUBSTITUTE(L5, "'", "''") &amp; "'", ""), IF(AND(M$3="YES", NOT(ISBLANK(M5))), "sample_file_path='" &amp; SUBSTITUTE(M5, "'", "''") &amp; "'", ""), IF(AND(N$3="YES", NOT(ISBLANK(N5))), "description='" &amp; SUBSTITUTE(N5, "'", "''") &amp; "'", "")) &amp; " WHERE id=" &amp; A5 &amp; ";")</f>
        <v>UPDATE books SET title='สมุดระบายสีสัตว์น่ารัก เล่ม 1 (ปรับปรุงใหม่)', category='สมุดระบายสีเด็ก', price=39, original_price=89, cover_image_url='https://firebasestorage.googleapis.com/.../new_cover1.jpg', file_path='https://firebasestorage.googleapis.com/.../new_book1.pdf' WHERE id=1;</v>
      </c>
    </row>
    <row r="6" spans="1:15" ht="22.05" customHeight="1" x14ac:dyDescent="0.35">
      <c r="A6" s="4">
        <v>2</v>
      </c>
      <c r="B6" s="4" t="s">
        <v>28</v>
      </c>
      <c r="C6" s="4"/>
      <c r="D6" s="4"/>
      <c r="E6" s="4" t="s">
        <v>29</v>
      </c>
      <c r="F6" s="4">
        <v>49</v>
      </c>
      <c r="G6" s="4">
        <v>119</v>
      </c>
      <c r="H6" s="4"/>
      <c r="I6" s="4"/>
      <c r="J6" s="4"/>
      <c r="K6" s="4"/>
      <c r="L6" s="4"/>
      <c r="M6" s="4"/>
      <c r="N6" s="4"/>
      <c r="O6" s="5" t="str">
        <f t="shared" si="0"/>
        <v>UPDATE books SET title='ชีทคณิตศาสตร์ คิดเลขเร็ว เล่ม 1', category='คณิตศาสตร์', price=49, original_price=119 WHERE id=2;</v>
      </c>
    </row>
    <row r="7" spans="1:15" ht="22.05" customHeight="1" x14ac:dyDescent="0.35">
      <c r="A7" s="4">
        <v>5</v>
      </c>
      <c r="B7" s="4" t="s">
        <v>56</v>
      </c>
      <c r="C7" s="4"/>
      <c r="D7" s="4"/>
      <c r="E7" s="4" t="s">
        <v>57</v>
      </c>
      <c r="F7" s="4">
        <v>69</v>
      </c>
      <c r="G7" s="4">
        <v>159</v>
      </c>
      <c r="H7" s="4"/>
      <c r="I7" s="4"/>
      <c r="J7" s="4" t="s">
        <v>58</v>
      </c>
      <c r="K7" s="4" t="s">
        <v>59</v>
      </c>
      <c r="L7" s="4"/>
      <c r="M7" s="4"/>
      <c r="N7" s="4"/>
      <c r="O7" s="5" t="str">
        <f t="shared" si="0"/>
        <v>UPDATE books SET title='นิทานเด็ก AI ผจญภัยในอวกาศ', category='นิทานเด็ก AI', price=69, original_price=159, cover_image_url='https://firebasestorage.googleapis.com/.../cover5.jpg' WHERE id=5;</v>
      </c>
    </row>
    <row r="8" spans="1:15" ht="22.0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 t="str">
        <f t="shared" si="0"/>
        <v/>
      </c>
    </row>
    <row r="9" spans="1:15" ht="22.0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5" t="str">
        <f t="shared" si="0"/>
        <v/>
      </c>
    </row>
    <row r="10" spans="1:15" ht="22.0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 t="str">
        <f t="shared" si="0"/>
        <v/>
      </c>
    </row>
    <row r="11" spans="1:15" ht="22.0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5" t="str">
        <f t="shared" si="0"/>
        <v/>
      </c>
    </row>
    <row r="12" spans="1:15" ht="22.0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5" t="str">
        <f t="shared" si="0"/>
        <v/>
      </c>
    </row>
    <row r="13" spans="1:15" ht="22.0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 t="str">
        <f t="shared" si="0"/>
        <v/>
      </c>
    </row>
    <row r="14" spans="1:15" ht="22.0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5" t="str">
        <f t="shared" si="0"/>
        <v/>
      </c>
    </row>
    <row r="15" spans="1:15" ht="22.0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5" t="str">
        <f t="shared" si="0"/>
        <v/>
      </c>
    </row>
    <row r="16" spans="1:15" ht="22.0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5" t="str">
        <f t="shared" si="0"/>
        <v/>
      </c>
    </row>
    <row r="17" spans="1:15" ht="22.0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5" t="str">
        <f t="shared" si="0"/>
        <v/>
      </c>
    </row>
    <row r="18" spans="1:15" ht="22.0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 t="str">
        <f t="shared" si="0"/>
        <v/>
      </c>
    </row>
    <row r="19" spans="1:15" ht="22.0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5" t="str">
        <f t="shared" si="0"/>
        <v/>
      </c>
    </row>
    <row r="20" spans="1:15" ht="22.0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5" t="str">
        <f t="shared" si="0"/>
        <v/>
      </c>
    </row>
    <row r="21" spans="1:15" ht="22.0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5" t="str">
        <f t="shared" si="0"/>
        <v/>
      </c>
    </row>
    <row r="22" spans="1:15" ht="22.0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 t="str">
        <f t="shared" si="0"/>
        <v/>
      </c>
    </row>
    <row r="23" spans="1:15" ht="22.0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5" t="str">
        <f t="shared" si="0"/>
        <v/>
      </c>
    </row>
    <row r="24" spans="1:15" ht="22.0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5" t="str">
        <f t="shared" si="0"/>
        <v/>
      </c>
    </row>
    <row r="25" spans="1:15" ht="22.0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5" t="str">
        <f t="shared" si="0"/>
        <v/>
      </c>
    </row>
    <row r="26" spans="1:15" ht="22.0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 t="str">
        <f t="shared" si="0"/>
        <v/>
      </c>
    </row>
    <row r="27" spans="1:15" ht="22.0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5" t="str">
        <f t="shared" si="0"/>
        <v/>
      </c>
    </row>
    <row r="28" spans="1:15" ht="22.0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5" t="str">
        <f t="shared" si="0"/>
        <v/>
      </c>
    </row>
    <row r="29" spans="1:15" ht="22.0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5" t="str">
        <f t="shared" si="0"/>
        <v/>
      </c>
    </row>
    <row r="30" spans="1:15" ht="22.0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5" t="str">
        <f t="shared" si="0"/>
        <v/>
      </c>
    </row>
    <row r="31" spans="1:15" ht="22.0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5" t="str">
        <f t="shared" si="0"/>
        <v/>
      </c>
    </row>
    <row r="32" spans="1:15" ht="22.0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 t="str">
        <f t="shared" si="0"/>
        <v/>
      </c>
    </row>
    <row r="33" spans="1:15" ht="22.0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 t="str">
        <f t="shared" si="0"/>
        <v/>
      </c>
    </row>
    <row r="34" spans="1:15" ht="22.0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5" t="str">
        <f t="shared" si="0"/>
        <v/>
      </c>
    </row>
    <row r="35" spans="1:15" ht="22.0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5" t="str">
        <f t="shared" si="0"/>
        <v/>
      </c>
    </row>
    <row r="36" spans="1:15" ht="22.0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 t="str">
        <f t="shared" si="0"/>
        <v/>
      </c>
    </row>
    <row r="37" spans="1:15" ht="22.0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 t="str">
        <f t="shared" ref="O37:O68" si="1">IF(ISBLANK(A37), "", "UPDATE books SET " &amp; _xlfn.TEXTJOIN(", ", TRUE, IF(AND(B$3="YES", NOT(ISBLANK(B37))), "title='" &amp; SUBSTITUTE(B37, "'", "''") &amp; "'", ""), IF(AND(C$3="YES", NOT(ISBLANK(C37))), "author_name='" &amp; SUBSTITUTE(C37, "'", "''") &amp; "'", ""), IF(AND(D$3="YES", NOT(ISBLANK(D37))), "publisher='" &amp; SUBSTITUTE(D37, "'", "''") &amp; "'", ""), IF(AND(E$3="YES", NOT(ISBLANK(E37))), "category='" &amp; SUBSTITUTE(E37, "'", "''") &amp; "'", ""), IF(AND(F$3="YES", NOT(ISBLANK(F37))), "price=" &amp; F37, ""), IF(AND(G$3="YES", NOT(ISBLANK(G37))), "original_price=" &amp; G37, ""), IF(AND(H$3="YES", NOT(ISBLANK(H37))), "pages_count='" &amp; SUBSTITUTE(H37, "'", "''") &amp; "'", ""), IF(AND(I$3="YES", NOT(ISBLANK(I37))), "file_type='" &amp; SUBSTITUTE(I37, "'", "''") &amp; "'", ""), IF(AND(J$3="YES", NOT(ISBLANK(J37))), "badge='" &amp; SUBSTITUTE(J37, "'", "''") &amp; "'", ""), IF(AND(K$3="YES", NOT(ISBLANK(K37))), "cover_image_url='" &amp; SUBSTITUTE(K37, "'", "''") &amp; "'", ""), IF(AND(L$3="YES", NOT(ISBLANK(L37))), "file_path='" &amp; SUBSTITUTE(L37, "'", "''") &amp; "'", ""), IF(AND(M$3="YES", NOT(ISBLANK(M37))), "sample_file_path='" &amp; SUBSTITUTE(M37, "'", "''") &amp; "'", ""), IF(AND(N$3="YES", NOT(ISBLANK(N37))), "description='" &amp; SUBSTITUTE(N37, "'", "''") &amp; "'", "")) &amp; " WHERE id=" &amp; A37 &amp; ";")</f>
        <v/>
      </c>
    </row>
    <row r="38" spans="1:15" ht="22.0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 t="str">
        <f t="shared" si="1"/>
        <v/>
      </c>
    </row>
    <row r="39" spans="1:15" ht="22.0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5" t="str">
        <f t="shared" si="1"/>
        <v/>
      </c>
    </row>
    <row r="40" spans="1:15" ht="22.0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5" t="str">
        <f t="shared" si="1"/>
        <v/>
      </c>
    </row>
    <row r="41" spans="1:15" ht="22.0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5" t="str">
        <f t="shared" si="1"/>
        <v/>
      </c>
    </row>
    <row r="42" spans="1:15" ht="22.0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 t="str">
        <f t="shared" si="1"/>
        <v/>
      </c>
    </row>
    <row r="43" spans="1:15" ht="22.0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5" t="str">
        <f t="shared" si="1"/>
        <v/>
      </c>
    </row>
    <row r="44" spans="1:15" ht="22.0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5" t="str">
        <f t="shared" si="1"/>
        <v/>
      </c>
    </row>
    <row r="45" spans="1:15" ht="22.0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5" t="str">
        <f t="shared" si="1"/>
        <v/>
      </c>
    </row>
    <row r="46" spans="1:15" ht="22.0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5" t="str">
        <f t="shared" si="1"/>
        <v/>
      </c>
    </row>
    <row r="47" spans="1:15" ht="22.0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5" t="str">
        <f t="shared" si="1"/>
        <v/>
      </c>
    </row>
    <row r="48" spans="1:15" ht="22.0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5" t="str">
        <f t="shared" si="1"/>
        <v/>
      </c>
    </row>
    <row r="49" spans="1:15" ht="22.0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5" t="str">
        <f t="shared" si="1"/>
        <v/>
      </c>
    </row>
    <row r="50" spans="1:15" ht="22.0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5" t="str">
        <f t="shared" si="1"/>
        <v/>
      </c>
    </row>
    <row r="51" spans="1:15" ht="22.0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5" t="str">
        <f t="shared" si="1"/>
        <v/>
      </c>
    </row>
    <row r="52" spans="1:15" ht="22.0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5" t="str">
        <f t="shared" si="1"/>
        <v/>
      </c>
    </row>
    <row r="53" spans="1:15" ht="22.0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5" t="str">
        <f t="shared" si="1"/>
        <v/>
      </c>
    </row>
    <row r="54" spans="1:15" ht="22.0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5" t="str">
        <f t="shared" si="1"/>
        <v/>
      </c>
    </row>
  </sheetData>
  <mergeCells count="1">
    <mergeCell ref="A1:O1"/>
  </mergeCells>
  <dataValidations count="1">
    <dataValidation type="list" sqref="B3 C3 D3 E3 F3 G3 H3 I3 J3 K3 L3 M3 N3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>
      <selection sqref="A1:I1"/>
    </sheetView>
  </sheetViews>
  <sheetFormatPr defaultRowHeight="14.4" x14ac:dyDescent="0.3"/>
  <cols>
    <col min="1" max="1" width="30" customWidth="1"/>
    <col min="2" max="2" width="32" customWidth="1"/>
    <col min="3" max="3" width="18" customWidth="1"/>
    <col min="4" max="4" width="53" customWidth="1"/>
    <col min="5" max="5" width="45" customWidth="1"/>
    <col min="6" max="6" width="18" customWidth="1"/>
    <col min="7" max="7" width="49" customWidth="1"/>
    <col min="8" max="8" width="21" customWidth="1"/>
    <col min="9" max="9" width="45" customWidth="1"/>
  </cols>
  <sheetData>
    <row r="1" spans="1:9" ht="40.049999999999997" customHeight="1" x14ac:dyDescent="0.3">
      <c r="A1" s="16" t="s">
        <v>60</v>
      </c>
      <c r="B1" s="14"/>
      <c r="C1" s="14"/>
      <c r="D1" s="14"/>
      <c r="E1" s="14"/>
      <c r="F1" s="14"/>
      <c r="G1" s="14"/>
      <c r="H1" s="14"/>
      <c r="I1" s="14"/>
    </row>
    <row r="3" spans="1:9" ht="19.2" x14ac:dyDescent="0.45">
      <c r="A3" s="1" t="s">
        <v>61</v>
      </c>
      <c r="D3" s="1" t="s">
        <v>62</v>
      </c>
      <c r="G3" s="1" t="s">
        <v>63</v>
      </c>
    </row>
    <row r="4" spans="1:9" ht="16.8" x14ac:dyDescent="0.4">
      <c r="A4" s="10" t="s">
        <v>64</v>
      </c>
      <c r="B4" s="11" t="s">
        <v>65</v>
      </c>
      <c r="D4" s="10" t="s">
        <v>66</v>
      </c>
      <c r="E4" s="11" t="s">
        <v>67</v>
      </c>
      <c r="G4" s="10" t="s">
        <v>68</v>
      </c>
      <c r="H4" s="10" t="s">
        <v>69</v>
      </c>
      <c r="I4" s="11" t="s">
        <v>70</v>
      </c>
    </row>
    <row r="5" spans="1:9" ht="22.05" customHeight="1" x14ac:dyDescent="0.35">
      <c r="A5" s="4">
        <v>10</v>
      </c>
      <c r="B5" s="5" t="str">
        <f t="shared" ref="B5:B24" si="0">IF(ISBLANK(A5), "", "DELETE FROM books WHERE id = " &amp; A5 &amp; ";")</f>
        <v>DELETE FROM books WHERE id = 10;</v>
      </c>
      <c r="D5" s="4">
        <v>101</v>
      </c>
      <c r="E5" s="5" t="str">
        <f>"DELETE FROM books WHERE id IN (" &amp; _xlfn.TEXTJOIN(", ", TRUE, D5:D25) &amp; ");"</f>
        <v>DELETE FROM books WHERE id IN (101, 102, 103, 104, 105);</v>
      </c>
      <c r="G5" s="6" t="s">
        <v>71</v>
      </c>
      <c r="H5" s="6" t="s">
        <v>20</v>
      </c>
      <c r="I5" s="5" t="str">
        <f t="shared" ref="I5:I14" si="1">IF(OR(ISBLANK(G5), ISBLANK(H5)), "", "DELETE FROM books WHERE " &amp; G5 &amp; " = '" &amp; SUBSTITUTE(H5, "'", "''") &amp; "';")</f>
        <v>DELETE FROM books WHERE category = 'สมุดระบายสีเด็ก';</v>
      </c>
    </row>
    <row r="6" spans="1:9" ht="22.05" customHeight="1" x14ac:dyDescent="0.35">
      <c r="A6" s="4">
        <v>15</v>
      </c>
      <c r="B6" s="5" t="str">
        <f t="shared" si="0"/>
        <v>DELETE FROM books WHERE id = 15;</v>
      </c>
      <c r="D6" s="4">
        <v>102</v>
      </c>
      <c r="G6" s="6" t="s">
        <v>72</v>
      </c>
      <c r="H6" s="6" t="s">
        <v>73</v>
      </c>
      <c r="I6" s="5" t="str">
        <f t="shared" si="1"/>
        <v>DELETE FROM books WHERE badge = 'ทดลองใช้';</v>
      </c>
    </row>
    <row r="7" spans="1:9" ht="22.05" customHeight="1" x14ac:dyDescent="0.35">
      <c r="A7" s="4">
        <v>22</v>
      </c>
      <c r="B7" s="5" t="str">
        <f t="shared" si="0"/>
        <v>DELETE FROM books WHERE id = 22;</v>
      </c>
      <c r="D7" s="4">
        <v>103</v>
      </c>
      <c r="G7" s="6"/>
      <c r="H7" s="6"/>
      <c r="I7" s="5" t="str">
        <f t="shared" si="1"/>
        <v/>
      </c>
    </row>
    <row r="8" spans="1:9" ht="22.05" customHeight="1" x14ac:dyDescent="0.35">
      <c r="A8" s="6"/>
      <c r="B8" s="5" t="str">
        <f t="shared" si="0"/>
        <v/>
      </c>
      <c r="D8" s="4">
        <v>104</v>
      </c>
      <c r="G8" s="6"/>
      <c r="H8" s="6"/>
      <c r="I8" s="5" t="str">
        <f t="shared" si="1"/>
        <v/>
      </c>
    </row>
    <row r="9" spans="1:9" ht="22.05" customHeight="1" x14ac:dyDescent="0.35">
      <c r="A9" s="6"/>
      <c r="B9" s="5" t="str">
        <f t="shared" si="0"/>
        <v/>
      </c>
      <c r="D9" s="4">
        <v>105</v>
      </c>
      <c r="G9" s="6"/>
      <c r="H9" s="6"/>
      <c r="I9" s="5" t="str">
        <f t="shared" si="1"/>
        <v/>
      </c>
    </row>
    <row r="10" spans="1:9" ht="22.05" customHeight="1" x14ac:dyDescent="0.3">
      <c r="A10" s="6"/>
      <c r="B10" s="5" t="str">
        <f t="shared" si="0"/>
        <v/>
      </c>
      <c r="D10" s="6"/>
      <c r="G10" s="6"/>
      <c r="H10" s="6"/>
      <c r="I10" s="5" t="str">
        <f t="shared" si="1"/>
        <v/>
      </c>
    </row>
    <row r="11" spans="1:9" ht="22.05" customHeight="1" x14ac:dyDescent="0.3">
      <c r="A11" s="6"/>
      <c r="B11" s="5" t="str">
        <f t="shared" si="0"/>
        <v/>
      </c>
      <c r="D11" s="6"/>
      <c r="G11" s="6"/>
      <c r="H11" s="6"/>
      <c r="I11" s="5" t="str">
        <f t="shared" si="1"/>
        <v/>
      </c>
    </row>
    <row r="12" spans="1:9" ht="22.05" customHeight="1" x14ac:dyDescent="0.3">
      <c r="A12" s="6"/>
      <c r="B12" s="5" t="str">
        <f t="shared" si="0"/>
        <v/>
      </c>
      <c r="D12" s="6"/>
      <c r="G12" s="6"/>
      <c r="H12" s="6"/>
      <c r="I12" s="5" t="str">
        <f t="shared" si="1"/>
        <v/>
      </c>
    </row>
    <row r="13" spans="1:9" ht="22.05" customHeight="1" x14ac:dyDescent="0.3">
      <c r="A13" s="6"/>
      <c r="B13" s="5" t="str">
        <f t="shared" si="0"/>
        <v/>
      </c>
      <c r="D13" s="6"/>
      <c r="G13" s="6"/>
      <c r="H13" s="6"/>
      <c r="I13" s="5" t="str">
        <f t="shared" si="1"/>
        <v/>
      </c>
    </row>
    <row r="14" spans="1:9" ht="22.05" customHeight="1" x14ac:dyDescent="0.3">
      <c r="A14" s="6"/>
      <c r="B14" s="5" t="str">
        <f t="shared" si="0"/>
        <v/>
      </c>
      <c r="D14" s="6"/>
      <c r="G14" s="6"/>
      <c r="H14" s="6"/>
      <c r="I14" s="5" t="str">
        <f t="shared" si="1"/>
        <v/>
      </c>
    </row>
    <row r="15" spans="1:9" ht="22.05" customHeight="1" x14ac:dyDescent="0.3">
      <c r="A15" s="6"/>
      <c r="B15" s="5" t="str">
        <f t="shared" si="0"/>
        <v/>
      </c>
      <c r="D15" s="6"/>
    </row>
    <row r="16" spans="1:9" ht="22.05" customHeight="1" x14ac:dyDescent="0.3">
      <c r="A16" s="6"/>
      <c r="B16" s="5" t="str">
        <f t="shared" si="0"/>
        <v/>
      </c>
      <c r="D16" s="6"/>
    </row>
    <row r="17" spans="1:4" ht="22.05" customHeight="1" x14ac:dyDescent="0.3">
      <c r="A17" s="6"/>
      <c r="B17" s="5" t="str">
        <f t="shared" si="0"/>
        <v/>
      </c>
      <c r="D17" s="6"/>
    </row>
    <row r="18" spans="1:4" ht="22.05" customHeight="1" x14ac:dyDescent="0.3">
      <c r="A18" s="6"/>
      <c r="B18" s="5" t="str">
        <f t="shared" si="0"/>
        <v/>
      </c>
      <c r="D18" s="6"/>
    </row>
    <row r="19" spans="1:4" ht="22.05" customHeight="1" x14ac:dyDescent="0.3">
      <c r="A19" s="6"/>
      <c r="B19" s="5" t="str">
        <f t="shared" si="0"/>
        <v/>
      </c>
      <c r="D19" s="6"/>
    </row>
    <row r="20" spans="1:4" ht="22.05" customHeight="1" x14ac:dyDescent="0.3">
      <c r="A20" s="6"/>
      <c r="B20" s="5" t="str">
        <f t="shared" si="0"/>
        <v/>
      </c>
      <c r="D20" s="6"/>
    </row>
    <row r="21" spans="1:4" ht="22.05" customHeight="1" x14ac:dyDescent="0.3">
      <c r="A21" s="6"/>
      <c r="B21" s="5" t="str">
        <f t="shared" si="0"/>
        <v/>
      </c>
      <c r="D21" s="6"/>
    </row>
    <row r="22" spans="1:4" ht="22.05" customHeight="1" x14ac:dyDescent="0.3">
      <c r="A22" s="6"/>
      <c r="B22" s="5" t="str">
        <f t="shared" si="0"/>
        <v/>
      </c>
      <c r="D22" s="6"/>
    </row>
    <row r="23" spans="1:4" ht="22.05" customHeight="1" x14ac:dyDescent="0.3">
      <c r="A23" s="6"/>
      <c r="B23" s="5" t="str">
        <f t="shared" si="0"/>
        <v/>
      </c>
      <c r="D23" s="6"/>
    </row>
    <row r="24" spans="1:4" ht="22.05" customHeight="1" x14ac:dyDescent="0.3">
      <c r="A24" s="6"/>
      <c r="B24" s="5" t="str">
        <f t="shared" si="0"/>
        <v/>
      </c>
      <c r="D24" s="6"/>
    </row>
  </sheetData>
  <mergeCells count="1">
    <mergeCell ref="A1:I1"/>
  </mergeCells>
  <dataValidations count="1">
    <dataValidation type="list" sqref="G5 G6 G7 G8 G9 G10 G11 G12 G13 G14" xr:uid="{00000000-0002-0000-0200-000000000000}">
      <formula1>"category,publisher,file_type,badge"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5"/>
  <sheetViews>
    <sheetView topLeftCell="A36" zoomScale="70" zoomScaleNormal="70" workbookViewId="0">
      <selection activeCell="J90" sqref="J90"/>
    </sheetView>
  </sheetViews>
  <sheetFormatPr defaultRowHeight="14.4" x14ac:dyDescent="0.3"/>
  <cols>
    <col min="1" max="1" width="30" customWidth="1"/>
    <col min="2" max="2" width="25" customWidth="1"/>
    <col min="3" max="3" width="28" customWidth="1"/>
    <col min="4" max="4" width="29" customWidth="1"/>
    <col min="5" max="5" width="45" customWidth="1"/>
    <col min="6" max="6" width="31" customWidth="1"/>
    <col min="7" max="7" width="28" customWidth="1"/>
    <col min="8" max="8" width="37" customWidth="1"/>
    <col min="9" max="9" width="45" customWidth="1"/>
    <col min="10" max="10" width="32" customWidth="1"/>
    <col min="11" max="11" width="30" customWidth="1"/>
    <col min="12" max="15" width="45" customWidth="1"/>
  </cols>
  <sheetData>
    <row r="1" spans="1:15" ht="40.049999999999997" customHeight="1" x14ac:dyDescent="0.3">
      <c r="A1" s="16" t="s">
        <v>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9.2" x14ac:dyDescent="0.45">
      <c r="A2" s="1" t="s">
        <v>75</v>
      </c>
    </row>
    <row r="4" spans="1:15" ht="28.05" customHeight="1" x14ac:dyDescent="0.3">
      <c r="A4" s="3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87</v>
      </c>
      <c r="M4" s="2" t="s">
        <v>88</v>
      </c>
      <c r="N4" s="2" t="s">
        <v>89</v>
      </c>
      <c r="O4" s="2" t="s">
        <v>90</v>
      </c>
    </row>
    <row r="5" spans="1:15" ht="22.05" customHeight="1" x14ac:dyDescent="0.35">
      <c r="A5" s="5" t="s">
        <v>91</v>
      </c>
      <c r="B5" s="4" t="str">
        <f t="shared" ref="B5:B36" si="0">IF(ISBLANK(A5), "", TRIM(SUBSTITUTE(_xlfn.TEXTBEFORE(IF(ISNUMBER(SEARCH("VALUES", A5)), _xlfn.TEXTAFTER(A5, "VALUES"), A5), ","), "(", "")))</f>
        <v>16</v>
      </c>
      <c r="C5" s="4" t="str">
        <f t="shared" ref="C5:C36" si="1">IF(ISBLANK(A5), "", TRIM(SUBSTITUTE(_xlfn.TEXTBEFORE(_xlfn.TEXTAFTER(IF(ISNUMBER(SEARCH("VALUES", A5)), _xlfn.TEXTAFTER(A5, "VALUES"), A5), ",", 1), ","), "'", "")))</f>
        <v>เล่ม 1 : แบบฝึกหัดพื้นฐานการบวกเลข (สำหรับเด็กป.1)</v>
      </c>
      <c r="D5" s="4" t="str">
        <f t="shared" ref="D5:D36" si="2">IF(ISBLANK(A5), "", TRIM(SUBSTITUTE(_xlfn.TEXTBEFORE(_xlfn.TEXTAFTER(IF(ISNUMBER(SEARCH("VALUES", A5)), _xlfn.TEXTAFTER(A5, "VALUES"), A5), ",", 2), ","), "'", "")))</f>
        <v>คลังสมอง</v>
      </c>
      <c r="E5" s="4" t="str">
        <f t="shared" ref="E5:E36" si="3">IF(ISBLANK(A5), "", TRIM(SUBSTITUTE(_xlfn.TEXTBEFORE(_xlfn.TEXTAFTER(IF(ISNUMBER(SEARCH("VALUES", A5)), _xlfn.TEXTAFTER(A5, "VALUES"), A5), ",", 3), ","), "'", "")))</f>
        <v>คลังสมอง KLANGSAMONG</v>
      </c>
      <c r="F5" s="4" t="str">
        <f t="shared" ref="F5:F36" si="4">IF(ISBLANK(A5), "", TRIM(SUBSTITUTE(_xlfn.TEXTBEFORE(_xlfn.TEXTAFTER(IF(ISNUMBER(SEARCH("VALUES", A5)), _xlfn.TEXTAFTER(A5, "VALUES"), A5), ",", 4), ","), "'", "")))</f>
        <v>พื้นฐานการบวกเลข</v>
      </c>
      <c r="G5" s="4" t="str">
        <f t="shared" ref="G5:G36" si="5">IF(ISBLANK(A5), "", TRIM(SUBSTITUTE(_xlfn.TEXTBEFORE(_xlfn.TEXTAFTER(IF(ISNUMBER(SEARCH("VALUES", A5)), _xlfn.TEXTAFTER(A5, "VALUES"), A5), ",", 5), ","), "'", "")))</f>
        <v>159</v>
      </c>
      <c r="H5" s="4" t="str">
        <f t="shared" ref="H5:H36" si="6">IF(ISBLANK(A5), "", TRIM(SUBSTITUTE(_xlfn.TEXTBEFORE(_xlfn.TEXTAFTER(IF(ISNUMBER(SEARCH("VALUES", A5)), _xlfn.TEXTAFTER(A5, "VALUES"), A5), ",", 6), ","), "'", "")))</f>
        <v>250</v>
      </c>
      <c r="I5" s="4" t="str">
        <f t="shared" ref="I5:I36" si="7">IF(ISBLANK(A5), "", TRIM(SUBSTITUTE(_xlfn.TEXTBEFORE(_xlfn.TEXTAFTER(IF(ISNUMBER(SEARCH("VALUES", A5)), _xlfn.TEXTAFTER(A5, "VALUES"), A5), ",", 7), ","), "'", "")))</f>
        <v>25 หน้า</v>
      </c>
      <c r="J5" s="4" t="str">
        <f t="shared" ref="J5:J36" si="8">IF(ISBLANK(A5), "", TRIM(SUBSTITUTE(_xlfn.TEXTBEFORE(_xlfn.TEXTAFTER(IF(ISNUMBER(SEARCH("VALUES", A5)), _xlfn.TEXTAFTER(A5, "VALUES"), A5), ",", 8), ","), "'", "")))</f>
        <v>PDF</v>
      </c>
      <c r="K5" s="4" t="str">
        <f t="shared" ref="K5:K36" si="9">IF(ISBLANK(A5), "", TRIM(SUBSTITUTE(_xlfn.TEXTBEFORE(_xlfn.TEXTAFTER(IF(ISNUMBER(SEARCH("VALUES", A5)), _xlfn.TEXTAFTER(A5, "VALUES"), A5), ",", 9), ","), "'", "")))</f>
        <v>แนะนำ</v>
      </c>
      <c r="L5" s="4" t="str">
        <f t="shared" ref="L5:L36" si="10">IF(ISBLANK(A5), "", TRIM(SUBSTITUTE(_xlfn.TEXTBEFORE(_xlfn.TEXTAFTER(IF(ISNUMBER(SEARCH("VALUES", A5)), _xlfn.TEXTAFTER(A5, "VALUES"), A5), ",", 10), ","), "'", "")))</f>
        <v>https://firebasestorage.googleapis.com/v0/b/klangsamong-e1d13.firebasestorage.app/o/covers%2F1785168637872________________________.png?alt=media</v>
      </c>
      <c r="M5" s="4" t="str">
        <f t="shared" ref="M5:M36" si="11">IF(ISBLANK(A5), "", TRIM(SUBSTITUTE(_xlfn.TEXTBEFORE(_xlfn.TEXTAFTER(IF(ISNUMBER(SEARCH("VALUES", A5)), _xlfn.TEXTAFTER(A5, "VALUES"), A5), ",", 11), ","), "'", "")))</f>
        <v>https://drive.google.com/file/d/1Nl9cPFhynS-G_519U2ttLGGwnO0lFwEs/view?usp=drive_link</v>
      </c>
      <c r="N5" s="4" t="str">
        <f t="shared" ref="N5:N36" si="12">IF(ISBLANK(A5), "", TRIM(SUBSTITUTE(_xlfn.TEXTBEFORE(_xlfn.TEXTAFTER(IF(ISNUMBER(SEARCH("VALUES", A5)), _xlfn.TEXTAFTER(A5, "VALUES"), A5), ",", 12), ","), "'", "")))</f>
        <v>NULL</v>
      </c>
      <c r="O5" s="4" t="str">
        <f t="shared" ref="O5:O36" si="13">IF(ISBLANK(A5), "", TRIM(SUBSTITUTE(SUBSTITUTE(SUBSTITUTE(_xlfn.TEXTAFTER(IF(ISNUMBER(SEARCH("VALUES", A5)), _xlfn.TEXTAFTER(A5, "VALUES"), A5), ",", 13), ");", ""), ")", ""), "'", "")))</f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" spans="1:15" ht="22.05" customHeight="1" x14ac:dyDescent="0.35">
      <c r="A6" s="5" t="s">
        <v>92</v>
      </c>
      <c r="B6" s="4" t="str">
        <f t="shared" si="0"/>
        <v>17</v>
      </c>
      <c r="C6" s="4" t="str">
        <f t="shared" si="1"/>
        <v>เล่ม 2 : แบบฝึกหัดพื้นฐานการบวกเลข (สำหรับเด็กป.1)</v>
      </c>
      <c r="D6" s="4" t="str">
        <f t="shared" si="2"/>
        <v>คลังสมอง</v>
      </c>
      <c r="E6" s="4" t="str">
        <f t="shared" si="3"/>
        <v>คลังสมอง KLANGSAMONG</v>
      </c>
      <c r="F6" s="4" t="str">
        <f t="shared" si="4"/>
        <v>พื้นฐานการบวกเลข</v>
      </c>
      <c r="G6" s="4" t="str">
        <f t="shared" si="5"/>
        <v>159</v>
      </c>
      <c r="H6" s="4" t="str">
        <f t="shared" si="6"/>
        <v>250</v>
      </c>
      <c r="I6" s="4" t="str">
        <f t="shared" si="7"/>
        <v>25 หน้า</v>
      </c>
      <c r="J6" s="4" t="str">
        <f t="shared" si="8"/>
        <v>PDF</v>
      </c>
      <c r="K6" s="4" t="str">
        <f t="shared" si="9"/>
        <v>แนะนำ</v>
      </c>
      <c r="L6" s="4" t="str">
        <f t="shared" si="10"/>
        <v>https://firebasestorage.googleapis.com/v0/b/klangsamong-e1d13.firebasestorage.app/o/covers%2F1785168637872________________________.png?alt=media</v>
      </c>
      <c r="M6" s="4" t="str">
        <f t="shared" si="11"/>
        <v>https://drive.google.com/file/d/1zq072eSXPhXbHEDNiwQwv1Cpg5CACHlD/view?usp=drive_link</v>
      </c>
      <c r="N6" s="4" t="str">
        <f t="shared" si="12"/>
        <v>NULL</v>
      </c>
      <c r="O6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" spans="1:15" ht="22.05" customHeight="1" x14ac:dyDescent="0.35">
      <c r="A7" s="12" t="s">
        <v>93</v>
      </c>
      <c r="B7" s="4" t="str">
        <f t="shared" si="0"/>
        <v>18</v>
      </c>
      <c r="C7" s="4" t="str">
        <f t="shared" si="1"/>
        <v>เล่ม 3 : แบบฝึกหัดพื้นฐานการบวกเลข (สำหรับเด็กป.1)</v>
      </c>
      <c r="D7" s="4" t="str">
        <f t="shared" si="2"/>
        <v>คลังสมอง</v>
      </c>
      <c r="E7" s="4" t="str">
        <f t="shared" si="3"/>
        <v>คลังสมอง KLANGSAMONG</v>
      </c>
      <c r="F7" s="4" t="str">
        <f t="shared" si="4"/>
        <v>พื้นฐานการบวกเลข</v>
      </c>
      <c r="G7" s="4" t="str">
        <f t="shared" si="5"/>
        <v>159</v>
      </c>
      <c r="H7" s="4" t="str">
        <f t="shared" si="6"/>
        <v>250</v>
      </c>
      <c r="I7" s="4" t="str">
        <f t="shared" si="7"/>
        <v>25 หน้า</v>
      </c>
      <c r="J7" s="4" t="str">
        <f t="shared" si="8"/>
        <v>PDF</v>
      </c>
      <c r="K7" s="4" t="str">
        <f t="shared" si="9"/>
        <v>แนะนำ</v>
      </c>
      <c r="L7" s="4" t="str">
        <f t="shared" si="10"/>
        <v>https://firebasestorage.googleapis.com/v0/b/klangsamong-e1d13.firebasestorage.app/o/covers%2F1785168637872________________________.png?alt=media</v>
      </c>
      <c r="M7" s="4" t="str">
        <f t="shared" si="11"/>
        <v>https://drive.google.com/file/d/1Mr-GU6mAfAaRExQVTYbn7rgxphkQwq9N/view?usp=drive_link</v>
      </c>
      <c r="N7" s="4" t="str">
        <f t="shared" si="12"/>
        <v>NULL</v>
      </c>
      <c r="O7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" spans="1:15" ht="22.05" customHeight="1" x14ac:dyDescent="0.35">
      <c r="A8" s="12" t="s">
        <v>94</v>
      </c>
      <c r="B8" s="4" t="str">
        <f t="shared" si="0"/>
        <v>19</v>
      </c>
      <c r="C8" s="4" t="str">
        <f t="shared" si="1"/>
        <v>เล่ม 4 : แบบฝึกหัดพื้นฐานการบวกเลข (สำหรับเด็กป.1)</v>
      </c>
      <c r="D8" s="4" t="str">
        <f t="shared" si="2"/>
        <v>คลังสมอง</v>
      </c>
      <c r="E8" s="4" t="str">
        <f t="shared" si="3"/>
        <v>คลังสมอง KLANGSAMONG</v>
      </c>
      <c r="F8" s="4" t="str">
        <f t="shared" si="4"/>
        <v>พื้นฐานการบวกเลข</v>
      </c>
      <c r="G8" s="4" t="str">
        <f t="shared" si="5"/>
        <v>159</v>
      </c>
      <c r="H8" s="4" t="str">
        <f t="shared" si="6"/>
        <v>250</v>
      </c>
      <c r="I8" s="4" t="str">
        <f t="shared" si="7"/>
        <v>25 หน้า</v>
      </c>
      <c r="J8" s="4" t="str">
        <f t="shared" si="8"/>
        <v>PDF</v>
      </c>
      <c r="K8" s="4" t="str">
        <f t="shared" si="9"/>
        <v>แนะนำ</v>
      </c>
      <c r="L8" s="4" t="str">
        <f t="shared" si="10"/>
        <v>https://firebasestorage.googleapis.com/v0/b/klangsamong-e1d13.firebasestorage.app/o/covers%2F1785168637872________________________.png?alt=media</v>
      </c>
      <c r="M8" s="4" t="str">
        <f t="shared" si="11"/>
        <v>https://drive.google.com/file/d/1lCKiLRaKeFvNxMkttBVqiCXR1uDp4vuu/view?usp=drive_link</v>
      </c>
      <c r="N8" s="4" t="str">
        <f t="shared" si="12"/>
        <v>NULL</v>
      </c>
      <c r="O8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9" spans="1:15" ht="22.05" customHeight="1" x14ac:dyDescent="0.35">
      <c r="A9" s="12" t="s">
        <v>95</v>
      </c>
      <c r="B9" s="4" t="str">
        <f t="shared" si="0"/>
        <v>20</v>
      </c>
      <c r="C9" s="4" t="str">
        <f t="shared" si="1"/>
        <v>เล่ม 5 : แบบฝึกหัดพื้นฐานการบวกเลข (สำหรับเด็กป.1)</v>
      </c>
      <c r="D9" s="4" t="str">
        <f t="shared" si="2"/>
        <v>คลังสมอง</v>
      </c>
      <c r="E9" s="4" t="str">
        <f t="shared" si="3"/>
        <v>คลังสมอง KLANGSAMONG</v>
      </c>
      <c r="F9" s="4" t="str">
        <f t="shared" si="4"/>
        <v>พื้นฐานการบวกเลข</v>
      </c>
      <c r="G9" s="4" t="str">
        <f t="shared" si="5"/>
        <v>159</v>
      </c>
      <c r="H9" s="4" t="str">
        <f t="shared" si="6"/>
        <v>250</v>
      </c>
      <c r="I9" s="4" t="str">
        <f t="shared" si="7"/>
        <v>25 หน้า</v>
      </c>
      <c r="J9" s="4" t="str">
        <f t="shared" si="8"/>
        <v>PDF</v>
      </c>
      <c r="K9" s="4" t="str">
        <f t="shared" si="9"/>
        <v>แนะนำ</v>
      </c>
      <c r="L9" s="4" t="str">
        <f t="shared" si="10"/>
        <v>https://firebasestorage.googleapis.com/v0/b/klangsamong-e1d13.firebasestorage.app/o/covers%2F1785168637872________________________.png?alt=media</v>
      </c>
      <c r="M9" s="4" t="str">
        <f t="shared" si="11"/>
        <v>https://drive.google.com/file/d/1lPwRBk6Wdhh1H50M6c6Yq13YpEAC4gth/view?usp=drive_link</v>
      </c>
      <c r="N9" s="4" t="str">
        <f t="shared" si="12"/>
        <v>NULL</v>
      </c>
      <c r="O9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0" spans="1:15" ht="22.05" customHeight="1" x14ac:dyDescent="0.35">
      <c r="A10" s="12" t="s">
        <v>96</v>
      </c>
      <c r="B10" s="4" t="str">
        <f t="shared" si="0"/>
        <v>21</v>
      </c>
      <c r="C10" s="4" t="str">
        <f t="shared" si="1"/>
        <v>เล่ม 6 : แบบฝึกหัดพื้นฐานการบวกเลข (สำหรับเด็กป.1)</v>
      </c>
      <c r="D10" s="4" t="str">
        <f t="shared" si="2"/>
        <v>คลังสมอง</v>
      </c>
      <c r="E10" s="4" t="str">
        <f t="shared" si="3"/>
        <v>คลังสมอง KLANGSAMONG</v>
      </c>
      <c r="F10" s="4" t="str">
        <f t="shared" si="4"/>
        <v>พื้นฐานการบวกเลข</v>
      </c>
      <c r="G10" s="4" t="str">
        <f t="shared" si="5"/>
        <v>159</v>
      </c>
      <c r="H10" s="4" t="str">
        <f t="shared" si="6"/>
        <v>250</v>
      </c>
      <c r="I10" s="4" t="str">
        <f t="shared" si="7"/>
        <v>25 หน้า</v>
      </c>
      <c r="J10" s="4" t="str">
        <f t="shared" si="8"/>
        <v>PDF</v>
      </c>
      <c r="K10" s="4" t="str">
        <f t="shared" si="9"/>
        <v>แนะนำ</v>
      </c>
      <c r="L10" s="4" t="str">
        <f t="shared" si="10"/>
        <v>https://firebasestorage.googleapis.com/v0/b/klangsamong-e1d13.firebasestorage.app/o/covers%2F1785168637872________________________.png?alt=media</v>
      </c>
      <c r="M10" s="4" t="str">
        <f t="shared" si="11"/>
        <v>https://drive.google.com/file/d/1LNJCc4sS_aw5_R5duUdjXdmJHyDZzJ2w/view?usp=drive_link</v>
      </c>
      <c r="N10" s="4" t="str">
        <f t="shared" si="12"/>
        <v>NULL</v>
      </c>
      <c r="O10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1" spans="1:15" ht="22.05" customHeight="1" x14ac:dyDescent="0.35">
      <c r="A11" s="12" t="s">
        <v>97</v>
      </c>
      <c r="B11" s="4" t="str">
        <f t="shared" si="0"/>
        <v>22</v>
      </c>
      <c r="C11" s="4" t="str">
        <f t="shared" si="1"/>
        <v>เล่ม 7 : แบบฝึกหัดพื้นฐานการบวกเลข (สำหรับเด็กป.1)</v>
      </c>
      <c r="D11" s="4" t="str">
        <f t="shared" si="2"/>
        <v>คลังสมอง</v>
      </c>
      <c r="E11" s="4" t="str">
        <f t="shared" si="3"/>
        <v>คลังสมอง KLANGSAMONG</v>
      </c>
      <c r="F11" s="4" t="str">
        <f t="shared" si="4"/>
        <v>พื้นฐานการบวกเลข</v>
      </c>
      <c r="G11" s="4" t="str">
        <f t="shared" si="5"/>
        <v>159</v>
      </c>
      <c r="H11" s="4" t="str">
        <f t="shared" si="6"/>
        <v>250</v>
      </c>
      <c r="I11" s="4" t="str">
        <f t="shared" si="7"/>
        <v>25 หน้า</v>
      </c>
      <c r="J11" s="4" t="str">
        <f t="shared" si="8"/>
        <v>PDF</v>
      </c>
      <c r="K11" s="4" t="str">
        <f t="shared" si="9"/>
        <v>แนะนำ</v>
      </c>
      <c r="L11" s="4" t="str">
        <f t="shared" si="10"/>
        <v>https://firebasestorage.googleapis.com/v0/b/klangsamong-e1d13.firebasestorage.app/o/covers%2F1785168637872________________________.png?alt=media</v>
      </c>
      <c r="M11" s="4" t="str">
        <f t="shared" si="11"/>
        <v>https://drive.google.com/file/d/18Y0DP5K4BsU0eTA1SDN6Zn3hZ3-SYjlv/view?usp=drive_link</v>
      </c>
      <c r="N11" s="4" t="str">
        <f t="shared" si="12"/>
        <v>NULL</v>
      </c>
      <c r="O11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2" spans="1:15" ht="22.05" customHeight="1" x14ac:dyDescent="0.35">
      <c r="A12" s="12" t="s">
        <v>98</v>
      </c>
      <c r="B12" s="4" t="str">
        <f t="shared" si="0"/>
        <v>23</v>
      </c>
      <c r="C12" s="4" t="str">
        <f t="shared" si="1"/>
        <v>เล่ม 8 : แบบฝึกหัดพื้นฐานการบวกเลข (สำหรับเด็กป.1)</v>
      </c>
      <c r="D12" s="4" t="str">
        <f t="shared" si="2"/>
        <v>คลังสมอง</v>
      </c>
      <c r="E12" s="4" t="str">
        <f t="shared" si="3"/>
        <v>คลังสมอง KLANGSAMONG</v>
      </c>
      <c r="F12" s="4" t="str">
        <f t="shared" si="4"/>
        <v>พื้นฐานการบวกเลข</v>
      </c>
      <c r="G12" s="4" t="str">
        <f t="shared" si="5"/>
        <v>159</v>
      </c>
      <c r="H12" s="4" t="str">
        <f t="shared" si="6"/>
        <v>250</v>
      </c>
      <c r="I12" s="4" t="str">
        <f t="shared" si="7"/>
        <v>25 หน้า</v>
      </c>
      <c r="J12" s="4" t="str">
        <f t="shared" si="8"/>
        <v>PDF</v>
      </c>
      <c r="K12" s="4" t="str">
        <f t="shared" si="9"/>
        <v>แนะนำ</v>
      </c>
      <c r="L12" s="4" t="str">
        <f t="shared" si="10"/>
        <v>https://firebasestorage.googleapis.com/v0/b/klangsamong-e1d13.firebasestorage.app/o/covers%2F1785168637872________________________.png?alt=media</v>
      </c>
      <c r="M12" s="4" t="str">
        <f t="shared" si="11"/>
        <v>https://drive.google.com/file/d/1bw-v0AQhdvfjtr4LN4P8K6qEnB7Eg1SY/view?usp=drive_link</v>
      </c>
      <c r="N12" s="4" t="str">
        <f t="shared" si="12"/>
        <v>NULL</v>
      </c>
      <c r="O12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3" spans="1:15" ht="22.05" customHeight="1" x14ac:dyDescent="0.35">
      <c r="A13" s="12" t="s">
        <v>99</v>
      </c>
      <c r="B13" s="4" t="str">
        <f t="shared" si="0"/>
        <v>24</v>
      </c>
      <c r="C13" s="4" t="str">
        <f t="shared" si="1"/>
        <v>เล่ม 9 : แบบฝึกหัดพื้นฐานการบวกเลข (สำหรับเด็กป.1)</v>
      </c>
      <c r="D13" s="4" t="str">
        <f t="shared" si="2"/>
        <v>คลังสมอง</v>
      </c>
      <c r="E13" s="4" t="str">
        <f t="shared" si="3"/>
        <v>คลังสมอง KLANGSAMONG</v>
      </c>
      <c r="F13" s="4" t="str">
        <f t="shared" si="4"/>
        <v>พื้นฐานการบวกเลข</v>
      </c>
      <c r="G13" s="4" t="str">
        <f t="shared" si="5"/>
        <v>159</v>
      </c>
      <c r="H13" s="4" t="str">
        <f t="shared" si="6"/>
        <v>250</v>
      </c>
      <c r="I13" s="4" t="str">
        <f t="shared" si="7"/>
        <v>25 หน้า</v>
      </c>
      <c r="J13" s="4" t="str">
        <f t="shared" si="8"/>
        <v>PDF</v>
      </c>
      <c r="K13" s="4" t="str">
        <f t="shared" si="9"/>
        <v>แนะนำ</v>
      </c>
      <c r="L13" s="4" t="str">
        <f t="shared" si="10"/>
        <v>https://firebasestorage.googleapis.com/v0/b/klangsamong-e1d13.firebasestorage.app/o/covers%2F1785168637872________________________.png?alt=media</v>
      </c>
      <c r="M13" s="4" t="str">
        <f t="shared" si="11"/>
        <v>https://drive.google.com/file/d/1Lyf1x-Mpq1VaRFgRyZEgQB_OKu4pzHOl/view?usp=drive_link</v>
      </c>
      <c r="N13" s="4" t="str">
        <f t="shared" si="12"/>
        <v>NULL</v>
      </c>
      <c r="O13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4" spans="1:15" ht="22.05" customHeight="1" x14ac:dyDescent="0.35">
      <c r="A14" s="12" t="s">
        <v>100</v>
      </c>
      <c r="B14" s="4" t="str">
        <f t="shared" si="0"/>
        <v>25</v>
      </c>
      <c r="C14" s="4" t="str">
        <f t="shared" si="1"/>
        <v>เล่ม 10 : แบบฝึกหัดพื้นฐานการบวกเลข (สำหรับเด็กป.1)</v>
      </c>
      <c r="D14" s="4" t="str">
        <f t="shared" si="2"/>
        <v>คลังสมอง</v>
      </c>
      <c r="E14" s="4" t="str">
        <f t="shared" si="3"/>
        <v>คลังสมอง KLANGSAMONG</v>
      </c>
      <c r="F14" s="4" t="str">
        <f t="shared" si="4"/>
        <v>พื้นฐานการบวกเลข</v>
      </c>
      <c r="G14" s="4" t="str">
        <f t="shared" si="5"/>
        <v>159</v>
      </c>
      <c r="H14" s="4" t="str">
        <f t="shared" si="6"/>
        <v>250</v>
      </c>
      <c r="I14" s="4" t="str">
        <f t="shared" si="7"/>
        <v>25 หน้า</v>
      </c>
      <c r="J14" s="4" t="str">
        <f t="shared" si="8"/>
        <v>PDF</v>
      </c>
      <c r="K14" s="4" t="str">
        <f t="shared" si="9"/>
        <v>แนะนำ</v>
      </c>
      <c r="L14" s="4" t="str">
        <f t="shared" si="10"/>
        <v>https://firebasestorage.googleapis.com/v0/b/klangsamong-e1d13.firebasestorage.app/o/covers%2F1785168637872________________________.png?alt=media</v>
      </c>
      <c r="M14" s="4" t="str">
        <f t="shared" si="11"/>
        <v>https://drive.google.com/file/d/1oMvD-2gEMP-zq_FBQHEfUUqZSC-dsAo9/view?usp=drive_link</v>
      </c>
      <c r="N14" s="4" t="str">
        <f t="shared" si="12"/>
        <v>NULL</v>
      </c>
      <c r="O14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5" spans="1:15" ht="22.05" customHeight="1" x14ac:dyDescent="0.35">
      <c r="A15" s="12" t="s">
        <v>101</v>
      </c>
      <c r="B15" s="4" t="str">
        <f t="shared" si="0"/>
        <v>26</v>
      </c>
      <c r="C15" s="4" t="str">
        <f t="shared" si="1"/>
        <v>เล่ม 11 : แบบฝึกหัดพื้นฐานการบวกเลข (สำหรับเด็กป.1)</v>
      </c>
      <c r="D15" s="4" t="str">
        <f t="shared" si="2"/>
        <v>คลังสมอง</v>
      </c>
      <c r="E15" s="4" t="str">
        <f t="shared" si="3"/>
        <v>คลังสมอง KLANGSAMONG</v>
      </c>
      <c r="F15" s="4" t="str">
        <f t="shared" si="4"/>
        <v>พื้นฐานการบวกเลข</v>
      </c>
      <c r="G15" s="4" t="str">
        <f t="shared" si="5"/>
        <v>159</v>
      </c>
      <c r="H15" s="4" t="str">
        <f t="shared" si="6"/>
        <v>250</v>
      </c>
      <c r="I15" s="4" t="str">
        <f t="shared" si="7"/>
        <v>25 หน้า</v>
      </c>
      <c r="J15" s="4" t="str">
        <f t="shared" si="8"/>
        <v>PDF</v>
      </c>
      <c r="K15" s="4" t="str">
        <f t="shared" si="9"/>
        <v>แนะนำ</v>
      </c>
      <c r="L15" s="4" t="str">
        <f t="shared" si="10"/>
        <v>https://firebasestorage.googleapis.com/v0/b/klangsamong-e1d13.firebasestorage.app/o/covers%2F1785168637872________________________.png?alt=media</v>
      </c>
      <c r="M15" s="4" t="str">
        <f t="shared" si="11"/>
        <v>https://drive.google.com/file/d/12ue4faDV0LdxBwjuGiV05dLwCmn1ZiGw/view?usp=drive_link</v>
      </c>
      <c r="N15" s="4" t="str">
        <f t="shared" si="12"/>
        <v>NULL</v>
      </c>
      <c r="O15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6" spans="1:15" ht="22.05" customHeight="1" x14ac:dyDescent="0.35">
      <c r="A16" s="12" t="s">
        <v>102</v>
      </c>
      <c r="B16" s="4" t="str">
        <f t="shared" si="0"/>
        <v>27</v>
      </c>
      <c r="C16" s="4" t="str">
        <f t="shared" si="1"/>
        <v>เล่ม 12 : แบบฝึกหัดพื้นฐานการบวกเลข (สำหรับเด็กป.1)</v>
      </c>
      <c r="D16" s="4" t="str">
        <f t="shared" si="2"/>
        <v>คลังสมอง</v>
      </c>
      <c r="E16" s="4" t="str">
        <f t="shared" si="3"/>
        <v>คลังสมอง KLANGSAMONG</v>
      </c>
      <c r="F16" s="4" t="str">
        <f t="shared" si="4"/>
        <v>พื้นฐานการบวกเลข</v>
      </c>
      <c r="G16" s="4" t="str">
        <f t="shared" si="5"/>
        <v>159</v>
      </c>
      <c r="H16" s="4" t="str">
        <f t="shared" si="6"/>
        <v>250</v>
      </c>
      <c r="I16" s="4" t="str">
        <f t="shared" si="7"/>
        <v>25 หน้า</v>
      </c>
      <c r="J16" s="4" t="str">
        <f t="shared" si="8"/>
        <v>PDF</v>
      </c>
      <c r="K16" s="4" t="str">
        <f t="shared" si="9"/>
        <v>แนะนำ</v>
      </c>
      <c r="L16" s="4" t="str">
        <f t="shared" si="10"/>
        <v>https://firebasestorage.googleapis.com/v0/b/klangsamong-e1d13.firebasestorage.app/o/covers%2F1785168637872________________________.png?alt=media</v>
      </c>
      <c r="M16" s="4" t="str">
        <f t="shared" si="11"/>
        <v>https://drive.google.com/file/d/1Spz5zDfTOlwrwxQe4DU0S8c1hw8OwDEP/view?usp=drive_link</v>
      </c>
      <c r="N16" s="4" t="str">
        <f t="shared" si="12"/>
        <v>NULL</v>
      </c>
      <c r="O16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7" spans="1:15" ht="22.05" customHeight="1" x14ac:dyDescent="0.35">
      <c r="A17" s="12" t="s">
        <v>103</v>
      </c>
      <c r="B17" s="4" t="str">
        <f t="shared" si="0"/>
        <v>28</v>
      </c>
      <c r="C17" s="4" t="str">
        <f t="shared" si="1"/>
        <v>เล่ม 13 : แบบฝึกหัดพื้นฐานการบวกเลข (สำหรับเด็กป.1)</v>
      </c>
      <c r="D17" s="4" t="str">
        <f t="shared" si="2"/>
        <v>คลังสมอง</v>
      </c>
      <c r="E17" s="4" t="str">
        <f t="shared" si="3"/>
        <v>คลังสมอง KLANGSAMONG</v>
      </c>
      <c r="F17" s="4" t="str">
        <f t="shared" si="4"/>
        <v>พื้นฐานการบวกเลข</v>
      </c>
      <c r="G17" s="4" t="str">
        <f t="shared" si="5"/>
        <v>159</v>
      </c>
      <c r="H17" s="4" t="str">
        <f t="shared" si="6"/>
        <v>250</v>
      </c>
      <c r="I17" s="4" t="str">
        <f t="shared" si="7"/>
        <v>25 หน้า</v>
      </c>
      <c r="J17" s="4" t="str">
        <f t="shared" si="8"/>
        <v>PDF</v>
      </c>
      <c r="K17" s="4" t="str">
        <f t="shared" si="9"/>
        <v>แนะนำ</v>
      </c>
      <c r="L17" s="4" t="str">
        <f t="shared" si="10"/>
        <v>https://firebasestorage.googleapis.com/v0/b/klangsamong-e1d13.firebasestorage.app/o/covers%2F1785168637872________________________.png?alt=media</v>
      </c>
      <c r="M17" s="4" t="str">
        <f t="shared" si="11"/>
        <v>https://drive.google.com/file/d/1ArInhAqbR4nErhV8yj9XXPl7pTJLabwK/view?usp=drive_link</v>
      </c>
      <c r="N17" s="4" t="str">
        <f t="shared" si="12"/>
        <v>NULL</v>
      </c>
      <c r="O17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8" spans="1:15" ht="22.05" customHeight="1" x14ac:dyDescent="0.35">
      <c r="A18" s="12" t="s">
        <v>104</v>
      </c>
      <c r="B18" s="4" t="str">
        <f t="shared" si="0"/>
        <v>29</v>
      </c>
      <c r="C18" s="4" t="str">
        <f t="shared" si="1"/>
        <v>เล่ม 14 : แบบฝึกหัดพื้นฐานการบวกเลข (สำหรับเด็กป.1)</v>
      </c>
      <c r="D18" s="4" t="str">
        <f t="shared" si="2"/>
        <v>คลังสมอง</v>
      </c>
      <c r="E18" s="4" t="str">
        <f t="shared" si="3"/>
        <v>คลังสมอง KLANGSAMONG</v>
      </c>
      <c r="F18" s="4" t="str">
        <f t="shared" si="4"/>
        <v>พื้นฐานการบวกเลข</v>
      </c>
      <c r="G18" s="4" t="str">
        <f t="shared" si="5"/>
        <v>159</v>
      </c>
      <c r="H18" s="4" t="str">
        <f t="shared" si="6"/>
        <v>250</v>
      </c>
      <c r="I18" s="4" t="str">
        <f t="shared" si="7"/>
        <v>25 หน้า</v>
      </c>
      <c r="J18" s="4" t="str">
        <f t="shared" si="8"/>
        <v>PDF</v>
      </c>
      <c r="K18" s="4" t="str">
        <f t="shared" si="9"/>
        <v>แนะนำ</v>
      </c>
      <c r="L18" s="4" t="str">
        <f t="shared" si="10"/>
        <v>https://firebasestorage.googleapis.com/v0/b/klangsamong-e1d13.firebasestorage.app/o/covers%2F1785168637872________________________.png?alt=media</v>
      </c>
      <c r="M18" s="4" t="str">
        <f t="shared" si="11"/>
        <v>https://drive.google.com/file/d/1zu4_wsVuFvgqA1EdQmVSPrTgVk6q2P2b/view?usp=drive_link</v>
      </c>
      <c r="N18" s="4" t="str">
        <f t="shared" si="12"/>
        <v>NULL</v>
      </c>
      <c r="O18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19" spans="1:15" ht="22.05" customHeight="1" x14ac:dyDescent="0.35">
      <c r="A19" s="12" t="s">
        <v>105</v>
      </c>
      <c r="B19" s="4" t="str">
        <f t="shared" si="0"/>
        <v>30</v>
      </c>
      <c r="C19" s="4" t="str">
        <f t="shared" si="1"/>
        <v>เล่ม 15 : แบบฝึกหัดพื้นฐานการบวกเลข (สำหรับเด็กป.1)</v>
      </c>
      <c r="D19" s="4" t="str">
        <f t="shared" si="2"/>
        <v>คลังสมอง</v>
      </c>
      <c r="E19" s="4" t="str">
        <f t="shared" si="3"/>
        <v>คลังสมอง KLANGSAMONG</v>
      </c>
      <c r="F19" s="4" t="str">
        <f t="shared" si="4"/>
        <v>พื้นฐานการบวกเลข</v>
      </c>
      <c r="G19" s="4" t="str">
        <f t="shared" si="5"/>
        <v>159</v>
      </c>
      <c r="H19" s="4" t="str">
        <f t="shared" si="6"/>
        <v>250</v>
      </c>
      <c r="I19" s="4" t="str">
        <f t="shared" si="7"/>
        <v>25 หน้า</v>
      </c>
      <c r="J19" s="4" t="str">
        <f t="shared" si="8"/>
        <v>PDF</v>
      </c>
      <c r="K19" s="4" t="str">
        <f t="shared" si="9"/>
        <v>แนะนำ</v>
      </c>
      <c r="L19" s="4" t="str">
        <f t="shared" si="10"/>
        <v>https://firebasestorage.googleapis.com/v0/b/klangsamong-e1d13.firebasestorage.app/o/covers%2F1785168637872________________________.png?alt=media</v>
      </c>
      <c r="M19" s="4" t="str">
        <f t="shared" si="11"/>
        <v>https://drive.google.com/file/d/14N5Sex2rBoz8vx85AcLVrlC_fcwX69EW/view?usp=drive_link</v>
      </c>
      <c r="N19" s="4" t="str">
        <f t="shared" si="12"/>
        <v>NULL</v>
      </c>
      <c r="O19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0" spans="1:15" ht="22.05" customHeight="1" x14ac:dyDescent="0.35">
      <c r="A20" s="12" t="s">
        <v>106</v>
      </c>
      <c r="B20" s="4" t="str">
        <f t="shared" si="0"/>
        <v>31</v>
      </c>
      <c r="C20" s="4" t="str">
        <f t="shared" si="1"/>
        <v>เล่ม 16 : แบบฝึกหัดพื้นฐานการบวกเลข (สำหรับเด็กป.1)</v>
      </c>
      <c r="D20" s="4" t="str">
        <f t="shared" si="2"/>
        <v>คลังสมอง</v>
      </c>
      <c r="E20" s="4" t="str">
        <f t="shared" si="3"/>
        <v>คลังสมอง KLANGSAMONG</v>
      </c>
      <c r="F20" s="4" t="str">
        <f t="shared" si="4"/>
        <v>พื้นฐานการบวกเลข</v>
      </c>
      <c r="G20" s="4" t="str">
        <f t="shared" si="5"/>
        <v>159</v>
      </c>
      <c r="H20" s="4" t="str">
        <f t="shared" si="6"/>
        <v>250</v>
      </c>
      <c r="I20" s="4" t="str">
        <f t="shared" si="7"/>
        <v>25 หน้า</v>
      </c>
      <c r="J20" s="4" t="str">
        <f t="shared" si="8"/>
        <v>PDF</v>
      </c>
      <c r="K20" s="4" t="str">
        <f t="shared" si="9"/>
        <v>แนะนำ</v>
      </c>
      <c r="L20" s="4" t="str">
        <f t="shared" si="10"/>
        <v>https://firebasestorage.googleapis.com/v0/b/klangsamong-e1d13.firebasestorage.app/o/covers%2F1785168637872________________________.png?alt=media</v>
      </c>
      <c r="M20" s="4" t="str">
        <f t="shared" si="11"/>
        <v>https://drive.google.com/file/d/1B8IPRqt-rcYwuIGAfWOUkRr3vuPwyN8S/view?usp=drive_link</v>
      </c>
      <c r="N20" s="4" t="str">
        <f t="shared" si="12"/>
        <v>NULL</v>
      </c>
      <c r="O20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1" spans="1:15" ht="22.05" customHeight="1" x14ac:dyDescent="0.35">
      <c r="A21" s="12" t="s">
        <v>107</v>
      </c>
      <c r="B21" s="4" t="str">
        <f t="shared" si="0"/>
        <v>32</v>
      </c>
      <c r="C21" s="4" t="str">
        <f t="shared" si="1"/>
        <v>เล่ม 17 : แบบฝึกหัดพื้นฐานการบวกเลข (สำหรับเด็กป.1)</v>
      </c>
      <c r="D21" s="4" t="str">
        <f t="shared" si="2"/>
        <v>คลังสมอง</v>
      </c>
      <c r="E21" s="4" t="str">
        <f t="shared" si="3"/>
        <v>คลังสมอง KLANGSAMONG</v>
      </c>
      <c r="F21" s="4" t="str">
        <f t="shared" si="4"/>
        <v>พื้นฐานการบวกเลข</v>
      </c>
      <c r="G21" s="4" t="str">
        <f t="shared" si="5"/>
        <v>159</v>
      </c>
      <c r="H21" s="4" t="str">
        <f t="shared" si="6"/>
        <v>250</v>
      </c>
      <c r="I21" s="4" t="str">
        <f t="shared" si="7"/>
        <v>25 หน้า</v>
      </c>
      <c r="J21" s="4" t="str">
        <f t="shared" si="8"/>
        <v>PDF</v>
      </c>
      <c r="K21" s="4" t="str">
        <f t="shared" si="9"/>
        <v>แนะนำ</v>
      </c>
      <c r="L21" s="4" t="str">
        <f t="shared" si="10"/>
        <v>https://firebasestorage.googleapis.com/v0/b/klangsamong-e1d13.firebasestorage.app/o/covers%2F1785168637872________________________.png?alt=media</v>
      </c>
      <c r="M21" s="4" t="str">
        <f t="shared" si="11"/>
        <v>https://drive.google.com/file/d/1T-xnc9wWsMDPLtQ9BPKobAaZV92fX8WR/view?usp=drive_link</v>
      </c>
      <c r="N21" s="4" t="str">
        <f t="shared" si="12"/>
        <v>NULL</v>
      </c>
      <c r="O21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2" spans="1:15" ht="22.05" customHeight="1" x14ac:dyDescent="0.35">
      <c r="A22" s="12" t="s">
        <v>108</v>
      </c>
      <c r="B22" s="4" t="str">
        <f t="shared" si="0"/>
        <v>33</v>
      </c>
      <c r="C22" s="4" t="str">
        <f t="shared" si="1"/>
        <v>เล่ม 18 : แบบฝึกหัดพื้นฐานการบวกเลข (สำหรับเด็กป.1)</v>
      </c>
      <c r="D22" s="4" t="str">
        <f t="shared" si="2"/>
        <v>คลังสมอง</v>
      </c>
      <c r="E22" s="4" t="str">
        <f t="shared" si="3"/>
        <v>คลังสมอง KLANGSAMONG</v>
      </c>
      <c r="F22" s="4" t="str">
        <f t="shared" si="4"/>
        <v>พื้นฐานการบวกเลข</v>
      </c>
      <c r="G22" s="4" t="str">
        <f t="shared" si="5"/>
        <v>159</v>
      </c>
      <c r="H22" s="4" t="str">
        <f t="shared" si="6"/>
        <v>250</v>
      </c>
      <c r="I22" s="4" t="str">
        <f t="shared" si="7"/>
        <v>25 หน้า</v>
      </c>
      <c r="J22" s="4" t="str">
        <f t="shared" si="8"/>
        <v>PDF</v>
      </c>
      <c r="K22" s="4" t="str">
        <f t="shared" si="9"/>
        <v>แนะนำ</v>
      </c>
      <c r="L22" s="4" t="str">
        <f t="shared" si="10"/>
        <v>https://firebasestorage.googleapis.com/v0/b/klangsamong-e1d13.firebasestorage.app/o/covers%2F1785168637872________________________.png?alt=media</v>
      </c>
      <c r="M22" s="4" t="str">
        <f t="shared" si="11"/>
        <v>https://drive.google.com/file/d/19-IOQJBtb50IvVjGdcTHTUto4dcLPxbr/view?usp=drive_link</v>
      </c>
      <c r="N22" s="4" t="str">
        <f t="shared" si="12"/>
        <v>NULL</v>
      </c>
      <c r="O22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3" spans="1:15" ht="22.05" customHeight="1" x14ac:dyDescent="0.35">
      <c r="A23" s="12" t="s">
        <v>109</v>
      </c>
      <c r="B23" s="4" t="str">
        <f t="shared" si="0"/>
        <v>34</v>
      </c>
      <c r="C23" s="4" t="str">
        <f t="shared" si="1"/>
        <v>เล่ม 19 : แบบฝึกหัดพื้นฐานการบวกเลข (สำหรับเด็กป.1)</v>
      </c>
      <c r="D23" s="4" t="str">
        <f t="shared" si="2"/>
        <v>คลังสมอง</v>
      </c>
      <c r="E23" s="4" t="str">
        <f t="shared" si="3"/>
        <v>คลังสมอง KLANGSAMONG</v>
      </c>
      <c r="F23" s="4" t="str">
        <f t="shared" si="4"/>
        <v>พื้นฐานการบวกเลข</v>
      </c>
      <c r="G23" s="4" t="str">
        <f t="shared" si="5"/>
        <v>159</v>
      </c>
      <c r="H23" s="4" t="str">
        <f t="shared" si="6"/>
        <v>250</v>
      </c>
      <c r="I23" s="4" t="str">
        <f t="shared" si="7"/>
        <v>25 หน้า</v>
      </c>
      <c r="J23" s="4" t="str">
        <f t="shared" si="8"/>
        <v>PDF</v>
      </c>
      <c r="K23" s="4" t="str">
        <f t="shared" si="9"/>
        <v>แนะนำ</v>
      </c>
      <c r="L23" s="4" t="str">
        <f t="shared" si="10"/>
        <v>https://firebasestorage.googleapis.com/v0/b/klangsamong-e1d13.firebasestorage.app/o/covers%2F1785168637872________________________.png?alt=media</v>
      </c>
      <c r="M23" s="4" t="str">
        <f t="shared" si="11"/>
        <v>https://drive.google.com/file/d/1_uJPdIzOia9tz5F_AhzpZSbGfuSppl7M/view?usp=drive_link</v>
      </c>
      <c r="N23" s="4" t="str">
        <f t="shared" si="12"/>
        <v>NULL</v>
      </c>
      <c r="O23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4" spans="1:15" ht="22.05" customHeight="1" x14ac:dyDescent="0.35">
      <c r="A24" s="12" t="s">
        <v>110</v>
      </c>
      <c r="B24" s="4" t="str">
        <f t="shared" si="0"/>
        <v>35</v>
      </c>
      <c r="C24" s="4" t="str">
        <f t="shared" si="1"/>
        <v>เล่ม 20 : แบบฝึกหัดพื้นฐานการบวกเลข (สำหรับเด็กป.1)</v>
      </c>
      <c r="D24" s="4" t="str">
        <f t="shared" si="2"/>
        <v>คลังสมอง</v>
      </c>
      <c r="E24" s="4" t="str">
        <f t="shared" si="3"/>
        <v>คลังสมอง KLANGSAMONG</v>
      </c>
      <c r="F24" s="4" t="str">
        <f t="shared" si="4"/>
        <v>พื้นฐานการบวกเลข</v>
      </c>
      <c r="G24" s="4" t="str">
        <f t="shared" si="5"/>
        <v>159</v>
      </c>
      <c r="H24" s="4" t="str">
        <f t="shared" si="6"/>
        <v>250</v>
      </c>
      <c r="I24" s="4" t="str">
        <f t="shared" si="7"/>
        <v>25 หน้า</v>
      </c>
      <c r="J24" s="4" t="str">
        <f t="shared" si="8"/>
        <v>PDF</v>
      </c>
      <c r="K24" s="4" t="str">
        <f t="shared" si="9"/>
        <v>แนะนำ</v>
      </c>
      <c r="L24" s="4" t="str">
        <f t="shared" si="10"/>
        <v>https://firebasestorage.googleapis.com/v0/b/klangsamong-e1d13.firebasestorage.app/o/covers%2F1785168637872________________________.png?alt=media</v>
      </c>
      <c r="M24" s="4" t="str">
        <f t="shared" si="11"/>
        <v>https://drive.google.com/file/d/113tR-GWDasKo54AnhfNCloBt4QdsNeuA/view?usp=drive_link</v>
      </c>
      <c r="N24" s="4" t="str">
        <f t="shared" si="12"/>
        <v>NULL</v>
      </c>
      <c r="O24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5" spans="1:15" ht="22.05" customHeight="1" x14ac:dyDescent="0.35">
      <c r="A25" s="12" t="s">
        <v>111</v>
      </c>
      <c r="B25" s="4" t="str">
        <f t="shared" si="0"/>
        <v>36</v>
      </c>
      <c r="C25" s="4" t="str">
        <f t="shared" si="1"/>
        <v>เล่ม 21 : แบบฝึกหัดพื้นฐานการบวกเลข (สำหรับเด็กป.1)</v>
      </c>
      <c r="D25" s="4" t="str">
        <f t="shared" si="2"/>
        <v>คลังสมอง</v>
      </c>
      <c r="E25" s="4" t="str">
        <f t="shared" si="3"/>
        <v>คลังสมอง KLANGSAMONG</v>
      </c>
      <c r="F25" s="4" t="str">
        <f t="shared" si="4"/>
        <v>พื้นฐานการบวกเลข</v>
      </c>
      <c r="G25" s="4" t="str">
        <f t="shared" si="5"/>
        <v>159</v>
      </c>
      <c r="H25" s="4" t="str">
        <f t="shared" si="6"/>
        <v>250</v>
      </c>
      <c r="I25" s="4" t="str">
        <f t="shared" si="7"/>
        <v>25 หน้า</v>
      </c>
      <c r="J25" s="4" t="str">
        <f t="shared" si="8"/>
        <v>PDF</v>
      </c>
      <c r="K25" s="4" t="str">
        <f t="shared" si="9"/>
        <v>แนะนำ</v>
      </c>
      <c r="L25" s="4" t="str">
        <f t="shared" si="10"/>
        <v>https://firebasestorage.googleapis.com/v0/b/klangsamong-e1d13.firebasestorage.app/o/covers%2F1785168637872________________________.png?alt=media</v>
      </c>
      <c r="M25" s="4" t="str">
        <f t="shared" si="11"/>
        <v>https://drive.google.com/file/d/1b92Fwj8N6mM1n3z3xHRgTRqEqWb1Wi9y/view?usp=drive_link</v>
      </c>
      <c r="N25" s="4" t="str">
        <f t="shared" si="12"/>
        <v>NULL</v>
      </c>
      <c r="O25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6" spans="1:15" ht="22.05" customHeight="1" x14ac:dyDescent="0.35">
      <c r="A26" s="12" t="s">
        <v>112</v>
      </c>
      <c r="B26" s="4" t="str">
        <f t="shared" si="0"/>
        <v>37</v>
      </c>
      <c r="C26" s="4" t="str">
        <f t="shared" si="1"/>
        <v>เล่ม 22 : แบบฝึกหัดพื้นฐานการบวกเลข (สำหรับเด็กป.1)</v>
      </c>
      <c r="D26" s="4" t="str">
        <f t="shared" si="2"/>
        <v>คลังสมอง</v>
      </c>
      <c r="E26" s="4" t="str">
        <f t="shared" si="3"/>
        <v>คลังสมอง KLANGSAMONG</v>
      </c>
      <c r="F26" s="4" t="str">
        <f t="shared" si="4"/>
        <v>พื้นฐานการบวกเลข</v>
      </c>
      <c r="G26" s="4" t="str">
        <f t="shared" si="5"/>
        <v>159</v>
      </c>
      <c r="H26" s="4" t="str">
        <f t="shared" si="6"/>
        <v>250</v>
      </c>
      <c r="I26" s="4" t="str">
        <f t="shared" si="7"/>
        <v>25 หน้า</v>
      </c>
      <c r="J26" s="4" t="str">
        <f t="shared" si="8"/>
        <v>PDF</v>
      </c>
      <c r="K26" s="4" t="str">
        <f t="shared" si="9"/>
        <v>แนะนำ</v>
      </c>
      <c r="L26" s="4" t="str">
        <f t="shared" si="10"/>
        <v>https://firebasestorage.googleapis.com/v0/b/klangsamong-e1d13.firebasestorage.app/o/covers%2F1785168637872________________________.png?alt=media</v>
      </c>
      <c r="M26" s="4" t="str">
        <f t="shared" si="11"/>
        <v>https://drive.google.com/file/d/1CUVGbMkEX8mpls3oAWxP7E1es2BVKsCg/view?usp=drive_link</v>
      </c>
      <c r="N26" s="4" t="str">
        <f t="shared" si="12"/>
        <v>NULL</v>
      </c>
      <c r="O26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7" spans="1:15" ht="22.05" customHeight="1" x14ac:dyDescent="0.35">
      <c r="A27" s="12" t="s">
        <v>113</v>
      </c>
      <c r="B27" s="4" t="str">
        <f t="shared" si="0"/>
        <v>38</v>
      </c>
      <c r="C27" s="4" t="str">
        <f t="shared" si="1"/>
        <v>เล่ม 23 : แบบฝึกหัดพื้นฐานการบวกเลข (สำหรับเด็กป.1)</v>
      </c>
      <c r="D27" s="4" t="str">
        <f t="shared" si="2"/>
        <v>คลังสมอง</v>
      </c>
      <c r="E27" s="4" t="str">
        <f t="shared" si="3"/>
        <v>คลังสมอง KLANGSAMONG</v>
      </c>
      <c r="F27" s="4" t="str">
        <f t="shared" si="4"/>
        <v>พื้นฐานการบวกเลข</v>
      </c>
      <c r="G27" s="4" t="str">
        <f t="shared" si="5"/>
        <v>159</v>
      </c>
      <c r="H27" s="4" t="str">
        <f t="shared" si="6"/>
        <v>250</v>
      </c>
      <c r="I27" s="4" t="str">
        <f t="shared" si="7"/>
        <v>25 หน้า</v>
      </c>
      <c r="J27" s="4" t="str">
        <f t="shared" si="8"/>
        <v>PDF</v>
      </c>
      <c r="K27" s="4" t="str">
        <f t="shared" si="9"/>
        <v>แนะนำ</v>
      </c>
      <c r="L27" s="4" t="str">
        <f t="shared" si="10"/>
        <v>https://firebasestorage.googleapis.com/v0/b/klangsamong-e1d13.firebasestorage.app/o/covers%2F1785168637872________________________.png?alt=media</v>
      </c>
      <c r="M27" s="4" t="str">
        <f t="shared" si="11"/>
        <v>https://drive.google.com/file/d/1lROGLXKf8p0KhRThrt1UuwlN6SpJX7GS/view?usp=drive_link</v>
      </c>
      <c r="N27" s="4" t="str">
        <f t="shared" si="12"/>
        <v>NULL</v>
      </c>
      <c r="O27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8" spans="1:15" ht="22.05" customHeight="1" x14ac:dyDescent="0.35">
      <c r="A28" s="12" t="s">
        <v>114</v>
      </c>
      <c r="B28" s="4" t="str">
        <f t="shared" si="0"/>
        <v>39</v>
      </c>
      <c r="C28" s="4" t="str">
        <f t="shared" si="1"/>
        <v>เล่ม 24 : แบบฝึกหัดพื้นฐานการบวกเลข (สำหรับเด็กป.1)</v>
      </c>
      <c r="D28" s="4" t="str">
        <f t="shared" si="2"/>
        <v>คลังสมอง</v>
      </c>
      <c r="E28" s="4" t="str">
        <f t="shared" si="3"/>
        <v>คลังสมอง KLANGSAMONG</v>
      </c>
      <c r="F28" s="4" t="str">
        <f t="shared" si="4"/>
        <v>พื้นฐานการบวกเลข</v>
      </c>
      <c r="G28" s="4" t="str">
        <f t="shared" si="5"/>
        <v>159</v>
      </c>
      <c r="H28" s="4" t="str">
        <f t="shared" si="6"/>
        <v>250</v>
      </c>
      <c r="I28" s="4" t="str">
        <f t="shared" si="7"/>
        <v>25 หน้า</v>
      </c>
      <c r="J28" s="4" t="str">
        <f t="shared" si="8"/>
        <v>PDF</v>
      </c>
      <c r="K28" s="4" t="str">
        <f t="shared" si="9"/>
        <v>แนะนำ</v>
      </c>
      <c r="L28" s="4" t="str">
        <f t="shared" si="10"/>
        <v>https://firebasestorage.googleapis.com/v0/b/klangsamong-e1d13.firebasestorage.app/o/covers%2F1785168637872________________________.png?alt=media</v>
      </c>
      <c r="M28" s="4" t="str">
        <f t="shared" si="11"/>
        <v>https://drive.google.com/file/d/1jIQNAS0-Kscd3w9GwJQUPSbOnUqmerXg/view?usp=drive_link</v>
      </c>
      <c r="N28" s="4" t="str">
        <f t="shared" si="12"/>
        <v>NULL</v>
      </c>
      <c r="O28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29" spans="1:15" ht="22.05" customHeight="1" x14ac:dyDescent="0.35">
      <c r="A29" s="12" t="s">
        <v>115</v>
      </c>
      <c r="B29" s="4" t="str">
        <f t="shared" si="0"/>
        <v>40</v>
      </c>
      <c r="C29" s="4" t="str">
        <f t="shared" si="1"/>
        <v>เล่ม 25 : แบบฝึกหัดพื้นฐานการบวกเลข (สำหรับเด็กป.1)</v>
      </c>
      <c r="D29" s="4" t="str">
        <f t="shared" si="2"/>
        <v>คลังสมอง</v>
      </c>
      <c r="E29" s="4" t="str">
        <f t="shared" si="3"/>
        <v>คลังสมอง KLANGSAMONG</v>
      </c>
      <c r="F29" s="4" t="str">
        <f t="shared" si="4"/>
        <v>พื้นฐานการบวกเลข</v>
      </c>
      <c r="G29" s="4" t="str">
        <f t="shared" si="5"/>
        <v>159</v>
      </c>
      <c r="H29" s="4" t="str">
        <f t="shared" si="6"/>
        <v>250</v>
      </c>
      <c r="I29" s="4" t="str">
        <f t="shared" si="7"/>
        <v>25 หน้า</v>
      </c>
      <c r="J29" s="4" t="str">
        <f t="shared" si="8"/>
        <v>PDF</v>
      </c>
      <c r="K29" s="4" t="str">
        <f t="shared" si="9"/>
        <v>แนะนำ</v>
      </c>
      <c r="L29" s="4" t="str">
        <f t="shared" si="10"/>
        <v>https://firebasestorage.googleapis.com/v0/b/klangsamong-e1d13.firebasestorage.app/o/covers%2F1785168637872________________________.png?alt=media</v>
      </c>
      <c r="M29" s="4" t="str">
        <f t="shared" si="11"/>
        <v>https://drive.google.com/file/d/1J9_HkbjhdzXYk1umhye9kuHlCat_r4_g/view?usp=drive_link</v>
      </c>
      <c r="N29" s="4" t="str">
        <f t="shared" si="12"/>
        <v>NULL</v>
      </c>
      <c r="O29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0" spans="1:15" ht="22.05" customHeight="1" x14ac:dyDescent="0.35">
      <c r="A30" s="12" t="s">
        <v>116</v>
      </c>
      <c r="B30" s="4" t="str">
        <f t="shared" si="0"/>
        <v>41</v>
      </c>
      <c r="C30" s="4" t="str">
        <f t="shared" si="1"/>
        <v>เล่ม 26 : แบบฝึกหัดพื้นฐานการบวกเลข (สำหรับเด็กป.1)</v>
      </c>
      <c r="D30" s="4" t="str">
        <f t="shared" si="2"/>
        <v>คลังสมอง</v>
      </c>
      <c r="E30" s="4" t="str">
        <f t="shared" si="3"/>
        <v>คลังสมอง KLANGSAMONG</v>
      </c>
      <c r="F30" s="4" t="str">
        <f t="shared" si="4"/>
        <v>พื้นฐานการบวกเลข</v>
      </c>
      <c r="G30" s="4" t="str">
        <f t="shared" si="5"/>
        <v>159</v>
      </c>
      <c r="H30" s="4" t="str">
        <f t="shared" si="6"/>
        <v>250</v>
      </c>
      <c r="I30" s="4" t="str">
        <f t="shared" si="7"/>
        <v>25 หน้า</v>
      </c>
      <c r="J30" s="4" t="str">
        <f t="shared" si="8"/>
        <v>PDF</v>
      </c>
      <c r="K30" s="4" t="str">
        <f t="shared" si="9"/>
        <v>แนะนำ</v>
      </c>
      <c r="L30" s="4" t="str">
        <f t="shared" si="10"/>
        <v>https://firebasestorage.googleapis.com/v0/b/klangsamong-e1d13.firebasestorage.app/o/covers%2F1785168637872________________________.png?alt=media</v>
      </c>
      <c r="M30" s="4" t="str">
        <f t="shared" si="11"/>
        <v>https://drive.google.com/file/d/10pD5XeKiGnukv-hIuEGlvB8S8bzEcqJN/view?usp=drive_link</v>
      </c>
      <c r="N30" s="4" t="str">
        <f t="shared" si="12"/>
        <v>NULL</v>
      </c>
      <c r="O30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1" spans="1:15" ht="22.05" customHeight="1" x14ac:dyDescent="0.35">
      <c r="A31" s="12" t="s">
        <v>117</v>
      </c>
      <c r="B31" s="4" t="str">
        <f t="shared" si="0"/>
        <v>42</v>
      </c>
      <c r="C31" s="4" t="str">
        <f t="shared" si="1"/>
        <v>เล่ม 27 : แบบฝึกหัดพื้นฐานการบวกเลข (สำหรับเด็กป.1)</v>
      </c>
      <c r="D31" s="4" t="str">
        <f t="shared" si="2"/>
        <v>คลังสมอง</v>
      </c>
      <c r="E31" s="4" t="str">
        <f t="shared" si="3"/>
        <v>คลังสมอง KLANGSAMONG</v>
      </c>
      <c r="F31" s="4" t="str">
        <f t="shared" si="4"/>
        <v>พื้นฐานการบวกเลข</v>
      </c>
      <c r="G31" s="4" t="str">
        <f t="shared" si="5"/>
        <v>159</v>
      </c>
      <c r="H31" s="4" t="str">
        <f t="shared" si="6"/>
        <v>250</v>
      </c>
      <c r="I31" s="4" t="str">
        <f t="shared" si="7"/>
        <v>25 หน้า</v>
      </c>
      <c r="J31" s="4" t="str">
        <f t="shared" si="8"/>
        <v>PDF</v>
      </c>
      <c r="K31" s="4" t="str">
        <f t="shared" si="9"/>
        <v>แนะนำ</v>
      </c>
      <c r="L31" s="4" t="str">
        <f t="shared" si="10"/>
        <v>https://firebasestorage.googleapis.com/v0/b/klangsamong-e1d13.firebasestorage.app/o/covers%2F1785168637872________________________.png?alt=media</v>
      </c>
      <c r="M31" s="4" t="str">
        <f t="shared" si="11"/>
        <v>https://drive.google.com/file/d/1YNcS2DgbF6SkCmu22kVRTs66IUOlkNi8/view?usp=drive_link</v>
      </c>
      <c r="N31" s="4" t="str">
        <f t="shared" si="12"/>
        <v>NULL</v>
      </c>
      <c r="O31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2" spans="1:15" ht="22.05" customHeight="1" x14ac:dyDescent="0.35">
      <c r="A32" s="12" t="s">
        <v>118</v>
      </c>
      <c r="B32" s="4" t="str">
        <f t="shared" si="0"/>
        <v>43</v>
      </c>
      <c r="C32" s="4" t="str">
        <f t="shared" si="1"/>
        <v>เล่ม 28 : แบบฝึกหัดพื้นฐานการบวกเลข (สำหรับเด็กป.1)</v>
      </c>
      <c r="D32" s="4" t="str">
        <f t="shared" si="2"/>
        <v>คลังสมอง</v>
      </c>
      <c r="E32" s="4" t="str">
        <f t="shared" si="3"/>
        <v>คลังสมอง KLANGSAMONG</v>
      </c>
      <c r="F32" s="4" t="str">
        <f t="shared" si="4"/>
        <v>พื้นฐานการบวกเลข</v>
      </c>
      <c r="G32" s="4" t="str">
        <f t="shared" si="5"/>
        <v>159</v>
      </c>
      <c r="H32" s="4" t="str">
        <f t="shared" si="6"/>
        <v>250</v>
      </c>
      <c r="I32" s="4" t="str">
        <f t="shared" si="7"/>
        <v>25 หน้า</v>
      </c>
      <c r="J32" s="4" t="str">
        <f t="shared" si="8"/>
        <v>PDF</v>
      </c>
      <c r="K32" s="4" t="str">
        <f t="shared" si="9"/>
        <v>แนะนำ</v>
      </c>
      <c r="L32" s="4" t="str">
        <f t="shared" si="10"/>
        <v>https://firebasestorage.googleapis.com/v0/b/klangsamong-e1d13.firebasestorage.app/o/covers%2F1785168637872________________________.png?alt=media</v>
      </c>
      <c r="M32" s="4" t="str">
        <f t="shared" si="11"/>
        <v>https://drive.google.com/file/d/14pLkBY9vV1fuLdfg87MCVMhmnPbI7m3m/view?usp=drive_link</v>
      </c>
      <c r="N32" s="4" t="str">
        <f t="shared" si="12"/>
        <v>NULL</v>
      </c>
      <c r="O32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3" spans="1:15" ht="22.05" customHeight="1" x14ac:dyDescent="0.35">
      <c r="A33" s="12" t="s">
        <v>119</v>
      </c>
      <c r="B33" s="4" t="str">
        <f t="shared" si="0"/>
        <v>44</v>
      </c>
      <c r="C33" s="4" t="str">
        <f t="shared" si="1"/>
        <v>เล่ม 29 : แบบฝึกหัดพื้นฐานการบวกเลข (สำหรับเด็กป.1)</v>
      </c>
      <c r="D33" s="4" t="str">
        <f t="shared" si="2"/>
        <v>คลังสมอง</v>
      </c>
      <c r="E33" s="4" t="str">
        <f t="shared" si="3"/>
        <v>คลังสมอง KLANGSAMONG</v>
      </c>
      <c r="F33" s="4" t="str">
        <f t="shared" si="4"/>
        <v>พื้นฐานการบวกเลข</v>
      </c>
      <c r="G33" s="4" t="str">
        <f t="shared" si="5"/>
        <v>159</v>
      </c>
      <c r="H33" s="4" t="str">
        <f t="shared" si="6"/>
        <v>250</v>
      </c>
      <c r="I33" s="4" t="str">
        <f t="shared" si="7"/>
        <v>25 หน้า</v>
      </c>
      <c r="J33" s="4" t="str">
        <f t="shared" si="8"/>
        <v>PDF</v>
      </c>
      <c r="K33" s="4" t="str">
        <f t="shared" si="9"/>
        <v>แนะนำ</v>
      </c>
      <c r="L33" s="4" t="str">
        <f t="shared" si="10"/>
        <v>https://firebasestorage.googleapis.com/v0/b/klangsamong-e1d13.firebasestorage.app/o/covers%2F1785168637872________________________.png?alt=media</v>
      </c>
      <c r="M33" s="4" t="str">
        <f t="shared" si="11"/>
        <v>https://drive.google.com/file/d/166iEMn9QkCkESZc_--daW2QkeDtEIFL7/view?usp=drive_link</v>
      </c>
      <c r="N33" s="4" t="str">
        <f t="shared" si="12"/>
        <v>NULL</v>
      </c>
      <c r="O33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4" spans="1:15" ht="22.05" customHeight="1" x14ac:dyDescent="0.35">
      <c r="A34" s="12" t="s">
        <v>120</v>
      </c>
      <c r="B34" s="4" t="str">
        <f t="shared" si="0"/>
        <v>45</v>
      </c>
      <c r="C34" s="4" t="str">
        <f t="shared" si="1"/>
        <v>เล่ม 30 : แบบฝึกหัดพื้นฐานการบวกเลข (สำหรับเด็กป.1)</v>
      </c>
      <c r="D34" s="4" t="str">
        <f t="shared" si="2"/>
        <v>คลังสมอง</v>
      </c>
      <c r="E34" s="4" t="str">
        <f t="shared" si="3"/>
        <v>คลังสมอง KLANGSAMONG</v>
      </c>
      <c r="F34" s="4" t="str">
        <f t="shared" si="4"/>
        <v>พื้นฐานการบวกเลข</v>
      </c>
      <c r="G34" s="4" t="str">
        <f t="shared" si="5"/>
        <v>159</v>
      </c>
      <c r="H34" s="4" t="str">
        <f t="shared" si="6"/>
        <v>250</v>
      </c>
      <c r="I34" s="4" t="str">
        <f t="shared" si="7"/>
        <v>25 หน้า</v>
      </c>
      <c r="J34" s="4" t="str">
        <f t="shared" si="8"/>
        <v>PDF</v>
      </c>
      <c r="K34" s="4" t="str">
        <f t="shared" si="9"/>
        <v>แนะนำ</v>
      </c>
      <c r="L34" s="4" t="str">
        <f t="shared" si="10"/>
        <v>https://firebasestorage.googleapis.com/v0/b/klangsamong-e1d13.firebasestorage.app/o/covers%2F1785168637872________________________.png?alt=media</v>
      </c>
      <c r="M34" s="4" t="str">
        <f t="shared" si="11"/>
        <v>https://drive.google.com/file/d/1R61lzA0eX2P5BifkIQdVHxmkvNC9gbnz/view?usp=drive_link</v>
      </c>
      <c r="N34" s="4" t="str">
        <f t="shared" si="12"/>
        <v>NULL</v>
      </c>
      <c r="O34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5" spans="1:15" ht="22.05" customHeight="1" x14ac:dyDescent="0.35">
      <c r="A35" s="12" t="s">
        <v>121</v>
      </c>
      <c r="B35" s="4" t="str">
        <f t="shared" si="0"/>
        <v>46</v>
      </c>
      <c r="C35" s="4" t="str">
        <f t="shared" si="1"/>
        <v>เล่ม 31 : แบบฝึกหัดพื้นฐานการบวกเลข (สำหรับเด็กป.1)</v>
      </c>
      <c r="D35" s="4" t="str">
        <f t="shared" si="2"/>
        <v>คลังสมอง</v>
      </c>
      <c r="E35" s="4" t="str">
        <f t="shared" si="3"/>
        <v>คลังสมอง KLANGSAMONG</v>
      </c>
      <c r="F35" s="4" t="str">
        <f t="shared" si="4"/>
        <v>พื้นฐานการบวกเลข</v>
      </c>
      <c r="G35" s="4" t="str">
        <f t="shared" si="5"/>
        <v>159</v>
      </c>
      <c r="H35" s="4" t="str">
        <f t="shared" si="6"/>
        <v>250</v>
      </c>
      <c r="I35" s="4" t="str">
        <f t="shared" si="7"/>
        <v>25 หน้า</v>
      </c>
      <c r="J35" s="4" t="str">
        <f t="shared" si="8"/>
        <v>PDF</v>
      </c>
      <c r="K35" s="4" t="str">
        <f t="shared" si="9"/>
        <v>แนะนำ</v>
      </c>
      <c r="L35" s="4" t="str">
        <f t="shared" si="10"/>
        <v>https://firebasestorage.googleapis.com/v0/b/klangsamong-e1d13.firebasestorage.app/o/covers%2F1785168637872________________________.png?alt=media</v>
      </c>
      <c r="M35" s="4" t="str">
        <f t="shared" si="11"/>
        <v>https://drive.google.com/file/d/1PFdXLRBborqJB5o8rXIGqSq6r8fkrIp5/view?usp=drive_link</v>
      </c>
      <c r="N35" s="4" t="str">
        <f t="shared" si="12"/>
        <v>NULL</v>
      </c>
      <c r="O35" s="4" t="str">
        <f t="shared" si="13"/>
        <v>แบบฝึกหัดพื้นฐานการบวกเลข เสริมสร้างทักษะคณิตศาสตร์เบื้องต้นอย่างสนุกสนาน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6" spans="1:15" ht="22.05" customHeight="1" x14ac:dyDescent="0.35">
      <c r="A36" s="12" t="s">
        <v>122</v>
      </c>
      <c r="B36" s="4" t="str">
        <f t="shared" si="0"/>
        <v>47</v>
      </c>
      <c r="C36" s="4" t="str">
        <f t="shared" si="1"/>
        <v>เล่มที่ : 1 กีฬาแสนสนุก</v>
      </c>
      <c r="D36" s="4" t="str">
        <f t="shared" si="2"/>
        <v>คลังสมอง</v>
      </c>
      <c r="E36" s="4" t="str">
        <f t="shared" si="3"/>
        <v>คลังสมอง KLANGSAMONG</v>
      </c>
      <c r="F36" s="4" t="str">
        <f t="shared" si="4"/>
        <v>สมุดระบายสีเด็ก</v>
      </c>
      <c r="G36" s="4" t="str">
        <f t="shared" si="5"/>
        <v>159</v>
      </c>
      <c r="H36" s="4" t="str">
        <f t="shared" si="6"/>
        <v>199</v>
      </c>
      <c r="I36" s="4" t="str">
        <f t="shared" si="7"/>
        <v>20 หน้า</v>
      </c>
      <c r="J36" s="4" t="str">
        <f t="shared" si="8"/>
        <v>PDF</v>
      </c>
      <c r="K36" s="4" t="str">
        <f t="shared" si="9"/>
        <v>แนะนำ</v>
      </c>
      <c r="L36" s="4" t="str">
        <f t="shared" si="10"/>
        <v>https://firebasestorage.googleapis.com/v0/b/klangsamong-e1d13.firebasestorage.app/o/covers%2F1785415431467_Cover_-_KLANGSAMONG_-_A4_split_2_picked.png?alt=media</v>
      </c>
      <c r="M36" s="4" t="str">
        <f t="shared" si="11"/>
        <v>https://drive.google.com/file/d/1fMkNZkC0P08SdF20rwTlWnUMcdUyrCZR/view?usp=drive_link</v>
      </c>
      <c r="N36" s="4" t="str">
        <f t="shared" si="12"/>
        <v>https://firebasestorage.googleapis.com/v0/b/klangsamong-e1d13.firebasestorage.app/o/samples%2F18_%E0%B8%AD%E0%B8%B2%E0%B8%8A%E0%B8%B5%E0%B8%9E%E0%B9%83%E0%B8%99%E0%B8%9D%E0%B8%B1%E0%B8%99_picked_added_logo.png?alt=media&amp;token=e3c72a74-8e3a-42c5-8e40-c0ec203258c5</v>
      </c>
      <c r="O36" s="4" t="str">
        <f t="shared" si="13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7" spans="1:15" ht="22.05" customHeight="1" x14ac:dyDescent="0.35">
      <c r="A37" s="12" t="s">
        <v>123</v>
      </c>
      <c r="B37" s="4" t="str">
        <f t="shared" ref="B37:B85" si="14">IF(ISBLANK(A37), "", TRIM(SUBSTITUTE(_xlfn.TEXTBEFORE(IF(ISNUMBER(SEARCH("VALUES", A37)), _xlfn.TEXTAFTER(A37, "VALUES"), A37), ","), "(", "")))</f>
        <v>48</v>
      </c>
      <c r="C37" s="4" t="str">
        <f t="shared" ref="C37:C85" si="15">IF(ISBLANK(A37), "", TRIM(SUBSTITUTE(_xlfn.TEXTBEFORE(_xlfn.TEXTAFTER(IF(ISNUMBER(SEARCH("VALUES", A37)), _xlfn.TEXTAFTER(A37, "VALUES"), A37), ",", 1), ","), "'", "")))</f>
        <v>เล่มที่ : 2 ของเล่นชิ้นโปรด</v>
      </c>
      <c r="D37" s="4" t="str">
        <f t="shared" ref="D37:D54" si="16">IF(ISBLANK(A37), "", TRIM(SUBSTITUTE(_xlfn.TEXTBEFORE(_xlfn.TEXTAFTER(IF(ISNUMBER(SEARCH("VALUES", A37)), _xlfn.TEXTAFTER(A37, "VALUES"), A37), ",", 2), ","), "'", "")))</f>
        <v>คลังสมอง</v>
      </c>
      <c r="E37" s="4" t="str">
        <f t="shared" ref="E37:E54" si="17">IF(ISBLANK(A37), "", TRIM(SUBSTITUTE(_xlfn.TEXTBEFORE(_xlfn.TEXTAFTER(IF(ISNUMBER(SEARCH("VALUES", A37)), _xlfn.TEXTAFTER(A37, "VALUES"), A37), ",", 3), ","), "'", "")))</f>
        <v>คลังสมอง KLANGSAMONG</v>
      </c>
      <c r="F37" s="4" t="str">
        <f t="shared" ref="F37:F54" si="18">IF(ISBLANK(A37), "", TRIM(SUBSTITUTE(_xlfn.TEXTBEFORE(_xlfn.TEXTAFTER(IF(ISNUMBER(SEARCH("VALUES", A37)), _xlfn.TEXTAFTER(A37, "VALUES"), A37), ",", 4), ","), "'", "")))</f>
        <v>สมุดระบายสีเด็ก</v>
      </c>
      <c r="G37" s="4" t="str">
        <f t="shared" ref="G37:G54" si="19">IF(ISBLANK(A37), "", TRIM(SUBSTITUTE(_xlfn.TEXTBEFORE(_xlfn.TEXTAFTER(IF(ISNUMBER(SEARCH("VALUES", A37)), _xlfn.TEXTAFTER(A37, "VALUES"), A37), ",", 5), ","), "'", "")))</f>
        <v>159</v>
      </c>
      <c r="H37" s="4" t="str">
        <f t="shared" ref="H37:H54" si="20">IF(ISBLANK(A37), "", TRIM(SUBSTITUTE(_xlfn.TEXTBEFORE(_xlfn.TEXTAFTER(IF(ISNUMBER(SEARCH("VALUES", A37)), _xlfn.TEXTAFTER(A37, "VALUES"), A37), ",", 6), ","), "'", "")))</f>
        <v>199</v>
      </c>
      <c r="I37" s="4" t="str">
        <f t="shared" ref="I37:I54" si="21">IF(ISBLANK(A37), "", TRIM(SUBSTITUTE(_xlfn.TEXTBEFORE(_xlfn.TEXTAFTER(IF(ISNUMBER(SEARCH("VALUES", A37)), _xlfn.TEXTAFTER(A37, "VALUES"), A37), ",", 7), ","), "'", "")))</f>
        <v>20 หน้า</v>
      </c>
      <c r="J37" s="4" t="str">
        <f t="shared" ref="J37:J54" si="22">IF(ISBLANK(A37), "", TRIM(SUBSTITUTE(_xlfn.TEXTBEFORE(_xlfn.TEXTAFTER(IF(ISNUMBER(SEARCH("VALUES", A37)), _xlfn.TEXTAFTER(A37, "VALUES"), A37), ",", 8), ","), "'", "")))</f>
        <v>PDF</v>
      </c>
      <c r="K37" s="4" t="str">
        <f t="shared" ref="K37:K54" si="23">IF(ISBLANK(A37), "", TRIM(SUBSTITUTE(_xlfn.TEXTBEFORE(_xlfn.TEXTAFTER(IF(ISNUMBER(SEARCH("VALUES", A37)), _xlfn.TEXTAFTER(A37, "VALUES"), A37), ",", 9), ","), "'", "")))</f>
        <v>แนะนำ</v>
      </c>
      <c r="L37" s="4" t="str">
        <f t="shared" ref="L37:L54" si="24">IF(ISBLANK(A37), "", TRIM(SUBSTITUTE(_xlfn.TEXTBEFORE(_xlfn.TEXTAFTER(IF(ISNUMBER(SEARCH("VALUES", A37)), _xlfn.TEXTAFTER(A37, "VALUES"), A37), ",", 10), ","), "'", "")))</f>
        <v>https://firebasestorage.googleapis.com/v0/b/klangsamong-e1d13.firebasestorage.app/o/covers%2F1785418492724_cover_________________picked.png?alt=media</v>
      </c>
      <c r="M37" s="4" t="str">
        <f t="shared" ref="M37:M54" si="25">IF(ISBLANK(A37), "", TRIM(SUBSTITUTE(_xlfn.TEXTBEFORE(_xlfn.TEXTAFTER(IF(ISNUMBER(SEARCH("VALUES", A37)), _xlfn.TEXTAFTER(A37, "VALUES"), A37), ",", 11), ","), "'", "")))</f>
        <v>https://drive.google.com/file/d/1Z9xB4NiWNte069sR42rEejqmlrgMYzfZ/view?usp=drive_link</v>
      </c>
      <c r="N37" s="4" t="str">
        <f t="shared" ref="N37:N54" si="26">IF(ISBLANK(A37), "", TRIM(SUBSTITUTE(_xlfn.TEXTBEFORE(_xlfn.TEXTAFTER(IF(ISNUMBER(SEARCH("VALUES", A37)), _xlfn.TEXTAFTER(A37, "VALUES"), A37), ",", 12), ","), "'", "")))</f>
        <v>https://firebasestorage.googleapis.com/v0/b/klangsamong-e1d13.firebasestorage.app/o/samples%2F2_%E0%B8%82%E0%B8%AD%E0%B8%87%E0%B9%80%E0%B8%A5%E0%B9%88%E0%B8%99%E0%B8%8A%E0%B8%B4%E0%B9%89%E0%B8%99%E0%B9%82%E0%B8%9B%E0%B8%A3%E0%B8%94_picked_added_logo.png?alt=media&amp;token=11ed7af6-1535-4065-bb05-6fdde6f8882c</v>
      </c>
      <c r="O37" s="4" t="str">
        <f t="shared" ref="O37:O54" si="27">IF(ISBLANK(A37), "", TRIM(SUBSTITUTE(SUBSTITUTE(SUBSTITUTE(_xlfn.TEXTAFTER(IF(ISNUMBER(SEARCH("VALUES", A37)), _xlfn.TEXTAFTER(A37, "VALUES"), A37), ",", 13), ");", ""), ")", ""), "'", "")))</f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8" spans="1:15" ht="22.05" customHeight="1" x14ac:dyDescent="0.35">
      <c r="A38" s="12" t="s">
        <v>124</v>
      </c>
      <c r="B38" s="4" t="str">
        <f t="shared" si="14"/>
        <v>49</v>
      </c>
      <c r="C38" s="4" t="str">
        <f t="shared" si="15"/>
        <v>เล่มที่ : 3 ช่วยเหลือเมืองของเรา</v>
      </c>
      <c r="D38" s="4" t="str">
        <f t="shared" si="16"/>
        <v>คลังสมอง</v>
      </c>
      <c r="E38" s="4" t="str">
        <f t="shared" si="17"/>
        <v>คลังสมอง KLANGSAMONG</v>
      </c>
      <c r="F38" s="4" t="str">
        <f t="shared" si="18"/>
        <v>สมุดระบายสีเด็ก</v>
      </c>
      <c r="G38" s="4" t="str">
        <f t="shared" si="19"/>
        <v>159</v>
      </c>
      <c r="H38" s="4" t="str">
        <f t="shared" si="20"/>
        <v>250</v>
      </c>
      <c r="I38" s="4" t="str">
        <f t="shared" si="21"/>
        <v>20 หน้า</v>
      </c>
      <c r="J38" s="4" t="str">
        <f t="shared" si="22"/>
        <v>PDF</v>
      </c>
      <c r="K38" s="4" t="str">
        <f t="shared" si="23"/>
        <v>แนะนำ</v>
      </c>
      <c r="L38" s="4" t="str">
        <f t="shared" si="24"/>
        <v>https://firebasestorage.googleapis.com/v0/b/klangsamong-e1d13.firebasestorage.app/o/covers%2FCover%20-%20KLANGSAMONG%20-%20A4_split_1_picked.png?alt=media&amp;token=df0d48c4-1b3e-438a-bb35-d4bbc8b04f66</v>
      </c>
      <c r="M38" s="4" t="str">
        <f t="shared" si="25"/>
        <v>https://drive.google.com/file/d/1HOdIVT1wJtqVeYB8sQ2V8__7mLrHpjxp/view?usp=drive_link</v>
      </c>
      <c r="N38" s="4" t="str">
        <f t="shared" si="26"/>
        <v>https://firebasestorage.googleapis.com/v0/b/klangsamong-e1d13.firebasestorage.app/o/samples%2F3_%E0%B8%8A%E0%B9%88%E0%B8%A7%E0%B8%A2%E0%B9%80%E0%B8%AB%E0%B8%A5%E0%B8%B7%E0%B8%AD%E0%B9%80%E0%B8%A1%E0%B8%B7%E0%B8%AD%E0%B8%87%E0%B8%82%E0%B8%AD%E0%B8%87%E0%B9%80%E0%B8%A3%E0%B8%B2_picked_added_logo.png?alt=media&amp;token=64f63941-7e7a-4b5c-b2c7-46b3083b03bd</v>
      </c>
      <c r="O38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39" spans="1:15" ht="22.05" customHeight="1" x14ac:dyDescent="0.35">
      <c r="A39" s="12" t="s">
        <v>125</v>
      </c>
      <c r="B39" s="4" t="str">
        <f t="shared" si="14"/>
        <v>50</v>
      </c>
      <c r="C39" s="4" t="str">
        <f t="shared" si="15"/>
        <v>เล่มที่ : 4 ตัวอักษรภาษาอังกฤษ A-Z</v>
      </c>
      <c r="D39" s="4" t="str">
        <f t="shared" si="16"/>
        <v>คลังสมอง</v>
      </c>
      <c r="E39" s="4" t="str">
        <f t="shared" si="17"/>
        <v>คลังสมอง KLANGSAMONG</v>
      </c>
      <c r="F39" s="4" t="str">
        <f t="shared" si="18"/>
        <v>สมุดระบายสีเด็ก</v>
      </c>
      <c r="G39" s="4" t="str">
        <f t="shared" si="19"/>
        <v>159</v>
      </c>
      <c r="H39" s="4" t="str">
        <f t="shared" si="20"/>
        <v>250</v>
      </c>
      <c r="I39" s="4" t="str">
        <f t="shared" si="21"/>
        <v>20 หน้า</v>
      </c>
      <c r="J39" s="4" t="str">
        <f t="shared" si="22"/>
        <v>PDF</v>
      </c>
      <c r="K39" s="4" t="str">
        <f t="shared" si="23"/>
        <v>แนะนำ</v>
      </c>
      <c r="L39" s="4" t="str">
        <f t="shared" si="24"/>
        <v>https://firebasestorage.googleapis.com/v0/b/klangsamong-e1d13.firebasestorage.app/o/covers%2FCover%20-%20KLANGSAMONG%20-%20A4_split_4_picked.png?alt=media&amp;token=98633533-789c-43e4-b83c-f4eee02afc19</v>
      </c>
      <c r="M39" s="4" t="str">
        <f t="shared" si="25"/>
        <v>https://drive.google.com/file/d/1GZq6N2o0-Mm4JO0utNdkuqT4NkusXpn6/view?usp=drive_link</v>
      </c>
      <c r="N39" s="4" t="str">
        <f t="shared" si="26"/>
        <v>https://firebasestorage.googleapis.com/v0/b/klangsamong-e1d13.firebasestorage.app/o/samples%2F4_%E0%B8%95%E0%B8%B1%E0%B8%A7%E0%B8%AD%E0%B8%B1%E0%B8%81%E0%B8%A9%E0%B8%A3%E0%B8%A0%E0%B8%B2%E0%B8%A9%E0%B8%B2%E0%B8%AD%E0%B8%B1%E0%B8%87%E0%B8%81%E0%B8%A4%E0%B8%A9%20A%E2%80%93Z_picked_added_logo.png?alt=media&amp;token=26dd0b4e-ffaa-4b7a-b3bd-5b33a77b11bf</v>
      </c>
      <c r="O39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0" spans="1:15" ht="22.05" customHeight="1" x14ac:dyDescent="0.35">
      <c r="A40" s="12" t="s">
        <v>126</v>
      </c>
      <c r="B40" s="4" t="str">
        <f t="shared" si="14"/>
        <v>51</v>
      </c>
      <c r="C40" s="4" t="str">
        <f t="shared" si="15"/>
        <v>เล่มที่ : 5 ตัวเลขแสนสนุก</v>
      </c>
      <c r="D40" s="4" t="str">
        <f t="shared" si="16"/>
        <v>คลังสมอง</v>
      </c>
      <c r="E40" s="4" t="str">
        <f t="shared" si="17"/>
        <v>คลังสมอง KLANGSAMONG</v>
      </c>
      <c r="F40" s="4" t="str">
        <f t="shared" si="18"/>
        <v>สมุดระบายสีเด็ก</v>
      </c>
      <c r="G40" s="4" t="str">
        <f t="shared" si="19"/>
        <v>159</v>
      </c>
      <c r="H40" s="4" t="str">
        <f t="shared" si="20"/>
        <v>250</v>
      </c>
      <c r="I40" s="4" t="str">
        <f t="shared" si="21"/>
        <v>20 หน้า</v>
      </c>
      <c r="J40" s="4" t="str">
        <f t="shared" si="22"/>
        <v>PDF</v>
      </c>
      <c r="K40" s="4" t="str">
        <f t="shared" si="23"/>
        <v>แนะนำ</v>
      </c>
      <c r="L40" s="4" t="str">
        <f t="shared" si="24"/>
        <v>https://firebasestorage.googleapis.com/v0/b/klangsamong-e1d13.firebasestorage.app/o/covers%2FCover%20-%20KLANGSAMONG%20-%20A4_split_3_picked.png?alt=media&amp;token=b169d91a-37ba-40bf-8edf-c02ab3bdf4cb</v>
      </c>
      <c r="M40" s="4" t="str">
        <f t="shared" si="25"/>
        <v>https://drive.google.com/file/d/1JNCnJgqzZou6TsC9-mLYKYElzO1COw4Z/view?usp=drive_link</v>
      </c>
      <c r="N40" s="4" t="str">
        <f t="shared" si="26"/>
        <v>https://firebasestorage.googleapis.com/v0/b/klangsamong-e1d13.firebasestorage.app/o/samples%2F5_%E0%B8%95%E0%B8%B1%E0%B8%A7%E0%B9%80%E0%B8%A5%E0%B8%82%E0%B9%81%E0%B8%AA%E0%B8%99%E0%B8%AA%E0%B8%99%E0%B8%B8%E0%B8%81_picked_added_logo.png?alt=media&amp;token=4ea2f0a7-b64f-4d50-9b26-3f2aa824befb</v>
      </c>
      <c r="O40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1" spans="1:15" ht="22.05" customHeight="1" x14ac:dyDescent="0.35">
      <c r="A41" s="12" t="s">
        <v>127</v>
      </c>
      <c r="B41" s="4" t="str">
        <f t="shared" si="14"/>
        <v>52</v>
      </c>
      <c r="C41" s="4" t="str">
        <f t="shared" si="15"/>
        <v>เล่มที่ : 6 นกและแมลงตัวจิ๋ว</v>
      </c>
      <c r="D41" s="4" t="str">
        <f t="shared" si="16"/>
        <v>คลังสมอง</v>
      </c>
      <c r="E41" s="4" t="str">
        <f t="shared" si="17"/>
        <v>คลังสมอง KLANGSAMONG</v>
      </c>
      <c r="F41" s="4" t="str">
        <f t="shared" si="18"/>
        <v>สมุดระบายสีเด็ก</v>
      </c>
      <c r="G41" s="4" t="str">
        <f t="shared" si="19"/>
        <v>159</v>
      </c>
      <c r="H41" s="4" t="str">
        <f t="shared" si="20"/>
        <v>250</v>
      </c>
      <c r="I41" s="4" t="str">
        <f t="shared" si="21"/>
        <v>20 หน้า</v>
      </c>
      <c r="J41" s="4" t="str">
        <f t="shared" si="22"/>
        <v>PDF</v>
      </c>
      <c r="K41" s="4" t="str">
        <f t="shared" si="23"/>
        <v>แนะนำ</v>
      </c>
      <c r="L41" s="4" t="str">
        <f t="shared" si="24"/>
        <v>https://firebasestorage.googleapis.com/v0/b/klangsamong-e1d13.firebasestorage.app/o/covers%2FCover%20-%20KLANGSAMONG%20-%20A4_split_5_picked.png?alt=media&amp;token=f0de6415-781d-41a8-aaed-4e7324e89e2c</v>
      </c>
      <c r="M41" s="4" t="str">
        <f t="shared" si="25"/>
        <v>https://drive.google.com/file/d/12C8EdWD9nM8i_9mtz0Npk7xhqp4BDtjU/view?usp=drive_link</v>
      </c>
      <c r="N41" s="4" t="str">
        <f t="shared" si="26"/>
        <v>https://firebasestorage.googleapis.com/v0/b/klangsamong-e1d13.firebasestorage.app/o/samples%2F6_%E0%B8%99%E0%B8%81%E0%B9%81%E0%B8%A5%E0%B8%B0%E0%B9%81%E0%B8%A1%E0%B8%A5%E0%B8%87%E0%B8%95%E0%B8%B1%E0%B8%A7%E0%B8%88%E0%B8%B4%E0%B9%8B%E0%B8%A7_picked_added_logo.png?alt=media&amp;token=78827b2d-24b2-4a60-8ff0-98f33b23b763</v>
      </c>
      <c r="O41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2" spans="1:15" ht="22.05" customHeight="1" x14ac:dyDescent="0.35">
      <c r="A42" s="12" t="s">
        <v>128</v>
      </c>
      <c r="B42" s="4" t="str">
        <f t="shared" si="14"/>
        <v>53</v>
      </c>
      <c r="C42" s="4" t="str">
        <f t="shared" si="15"/>
        <v>เล่มที่ : 7 บ้านของฉัน</v>
      </c>
      <c r="D42" s="4" t="str">
        <f t="shared" si="16"/>
        <v>คลังสมอง</v>
      </c>
      <c r="E42" s="4" t="str">
        <f t="shared" si="17"/>
        <v>คลังสมอง KLANGSAMONG</v>
      </c>
      <c r="F42" s="4" t="str">
        <f t="shared" si="18"/>
        <v>สมุดระบายสีเด็ก</v>
      </c>
      <c r="G42" s="4" t="str">
        <f t="shared" si="19"/>
        <v>159</v>
      </c>
      <c r="H42" s="4" t="str">
        <f t="shared" si="20"/>
        <v>250</v>
      </c>
      <c r="I42" s="4" t="str">
        <f t="shared" si="21"/>
        <v>20 หน้า</v>
      </c>
      <c r="J42" s="4" t="str">
        <f t="shared" si="22"/>
        <v>PDF</v>
      </c>
      <c r="K42" s="4" t="str">
        <f t="shared" si="23"/>
        <v>แนะนำ</v>
      </c>
      <c r="L42" s="4" t="str">
        <f t="shared" si="24"/>
        <v>https://firebasestorage.googleapis.com/v0/b/klangsamong-e1d13.firebasestorage.app/o/covers%2FCover%20-%20KLANGSAMONG%20-%20A4_split_6_picked.png?alt=media&amp;token=6b70c8fe-9272-4d3a-bee9-9c1070f1ae63</v>
      </c>
      <c r="M42" s="4" t="str">
        <f t="shared" si="25"/>
        <v>https://drive.google.com/file/d/1rnDxjBRiw1YqLkLaApOc2rqTinzX6V6S/view?usp=drive_link</v>
      </c>
      <c r="N42" s="4" t="str">
        <f t="shared" si="26"/>
        <v>https://firebasestorage.googleapis.com/v0/b/klangsamong-e1d13.firebasestorage.app/o/samples%2F7_%E0%B8%9A%E0%B9%89%E0%B8%B2%E0%B8%99%E0%B8%82%E0%B8%AD%E0%B8%87%E0%B8%89%E0%B8%B1%E0%B8%99_picked_added_logo.png?alt=media&amp;token=a863a579-7da0-4c25-b89c-35c14a09e94e</v>
      </c>
      <c r="O42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3" spans="1:15" ht="22.05" customHeight="1" x14ac:dyDescent="0.35">
      <c r="A43" s="12" t="s">
        <v>129</v>
      </c>
      <c r="B43" s="4" t="str">
        <f t="shared" si="14"/>
        <v>54</v>
      </c>
      <c r="C43" s="4" t="str">
        <f t="shared" si="15"/>
        <v>เล่มที่ : 8 ผลไม้แสนอร่อย</v>
      </c>
      <c r="D43" s="4" t="str">
        <f t="shared" si="16"/>
        <v>คลังสมอง</v>
      </c>
      <c r="E43" s="4" t="str">
        <f t="shared" si="17"/>
        <v>คลังสมอง KLANGSAMONG</v>
      </c>
      <c r="F43" s="4" t="str">
        <f t="shared" si="18"/>
        <v>สมุดระบายสีเด็ก</v>
      </c>
      <c r="G43" s="4" t="str">
        <f t="shared" si="19"/>
        <v>159</v>
      </c>
      <c r="H43" s="4" t="str">
        <f t="shared" si="20"/>
        <v>250</v>
      </c>
      <c r="I43" s="4" t="str">
        <f t="shared" si="21"/>
        <v>20 หน้า</v>
      </c>
      <c r="J43" s="4" t="str">
        <f t="shared" si="22"/>
        <v>PDF</v>
      </c>
      <c r="K43" s="4" t="str">
        <f t="shared" si="23"/>
        <v>แนะนำ</v>
      </c>
      <c r="L43" s="4" t="str">
        <f t="shared" si="24"/>
        <v>https://firebasestorage.googleapis.com/v0/b/klangsamong-e1d13.firebasestorage.app/o/covers%2FCover%20-%20KLANGSAMONG%20-%20A4_split_7_picked.png?alt=media&amp;token=2f7feaaf-a78f-4fb9-a6d4-d8b852344553</v>
      </c>
      <c r="M43" s="4" t="str">
        <f t="shared" si="25"/>
        <v>https://drive.google.com/file/d/1SrXvHpypHBKrlWsBjERF-FiqFVpfPU9x/view?usp=drive_link</v>
      </c>
      <c r="N43" s="4" t="str">
        <f t="shared" si="26"/>
        <v>https://firebasestorage.googleapis.com/v0/b/klangsamong-e1d13.firebasestorage.app/o/samples%2F8_%E0%B8%9C%E0%B8%A5%E0%B9%84%E0%B8%A1%E0%B9%89%E0%B9%81%E0%B8%AA%E0%B8%99%E0%B8%AD%E0%B8%A3%E0%B9%88%E0%B8%AD%E0%B8%A2_picked_added_logo.png?alt=media&amp;token=cbf81354-dbc4-4035-a20d-1cfd274546d6</v>
      </c>
      <c r="O43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4" spans="1:15" ht="22.05" customHeight="1" x14ac:dyDescent="0.35">
      <c r="A44" s="12" t="s">
        <v>130</v>
      </c>
      <c r="B44" s="4" t="str">
        <f t="shared" si="14"/>
        <v>55</v>
      </c>
      <c r="C44" s="4" t="str">
        <f t="shared" si="15"/>
        <v>เล่มที่ : 9 ผักสุขภาพดี</v>
      </c>
      <c r="D44" s="4" t="str">
        <f t="shared" si="16"/>
        <v>คลังสมอง</v>
      </c>
      <c r="E44" s="4" t="str">
        <f t="shared" si="17"/>
        <v>คลังสมอง KLANGSAMONG</v>
      </c>
      <c r="F44" s="4" t="str">
        <f t="shared" si="18"/>
        <v>สมุดระบายสีเด็ก</v>
      </c>
      <c r="G44" s="4" t="str">
        <f t="shared" si="19"/>
        <v>159</v>
      </c>
      <c r="H44" s="4" t="str">
        <f t="shared" si="20"/>
        <v>250</v>
      </c>
      <c r="I44" s="4" t="str">
        <f t="shared" si="21"/>
        <v>20 หน้า</v>
      </c>
      <c r="J44" s="4" t="str">
        <f t="shared" si="22"/>
        <v>PDF</v>
      </c>
      <c r="K44" s="4" t="str">
        <f t="shared" si="23"/>
        <v>แนะนำ</v>
      </c>
      <c r="L44" s="4" t="str">
        <f t="shared" si="24"/>
        <v>https://firebasestorage.googleapis.com/v0/b/klangsamong-e1d13.firebasestorage.app/o/covers%2FCover%20-%20KLANGSAMONG%20-%20A4_split_8_picked.png?alt=media&amp;token=d96f7f77-1727-4ca6-9032-fcb6b30b7d26</v>
      </c>
      <c r="M44" s="4" t="str">
        <f t="shared" si="25"/>
        <v>https://drive.google.com/file/d/1Fs7YRuNT7S1B5VA8TFzkahHJGrcPN86s/view?usp=drive_link</v>
      </c>
      <c r="N44" s="4" t="str">
        <f t="shared" si="26"/>
        <v>https://firebasestorage.googleapis.com/v0/b/klangsamong-e1d13.firebasestorage.app/o/samples%2F9_%E0%B8%9C%E0%B8%B1%E0%B8%81%E0%B8%AA%E0%B8%B8%E0%B8%82%E0%B8%A0%E0%B8%B2%E0%B8%9E%E0%B8%94%E0%B8%B5_picked_added_logo.png?alt=media&amp;token=8e983fa6-dba8-4edd-9c03-aaba08d86493</v>
      </c>
      <c r="O44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5" spans="1:15" ht="22.05" customHeight="1" x14ac:dyDescent="0.35">
      <c r="A45" s="12" t="s">
        <v>131</v>
      </c>
      <c r="B45" s="4" t="str">
        <f t="shared" si="14"/>
        <v>56</v>
      </c>
      <c r="C45" s="4" t="str">
        <f t="shared" si="15"/>
        <v>เล่มที่ : 10 ยานพาหนะรอบเมือง</v>
      </c>
      <c r="D45" s="4" t="str">
        <f t="shared" si="16"/>
        <v>คลังสมอง</v>
      </c>
      <c r="E45" s="4" t="str">
        <f t="shared" si="17"/>
        <v>คลังสมอง KLANGSAMONG</v>
      </c>
      <c r="F45" s="4" t="str">
        <f t="shared" si="18"/>
        <v>สมุดระบายสีเด็ก</v>
      </c>
      <c r="G45" s="4" t="str">
        <f t="shared" si="19"/>
        <v>159</v>
      </c>
      <c r="H45" s="4" t="str">
        <f t="shared" si="20"/>
        <v>250</v>
      </c>
      <c r="I45" s="4" t="str">
        <f t="shared" si="21"/>
        <v>20 หน้า</v>
      </c>
      <c r="J45" s="4" t="str">
        <f t="shared" si="22"/>
        <v>PDF</v>
      </c>
      <c r="K45" s="4" t="str">
        <f t="shared" si="23"/>
        <v>แนะนำ</v>
      </c>
      <c r="L45" s="4" t="str">
        <f t="shared" si="24"/>
        <v>https://firebasestorage.googleapis.com/v0/b/klangsamong-e1d13.firebasestorage.app/o/covers%2FCover%20-%20KLANGSAMONG%20-%20A4_split_9_picked.png?alt=media&amp;token=6700bbae-eeba-448c-82b7-3d6e688936c9</v>
      </c>
      <c r="M45" s="4" t="str">
        <f t="shared" si="25"/>
        <v>https://drive.google.com/file/d/1VfMycyVjtE4hL9axq3Ouu0q65DCJZc7w/view?usp=drive_link</v>
      </c>
      <c r="N45" s="4" t="str">
        <f t="shared" si="26"/>
        <v>https://firebasestorage.googleapis.com/v0/b/klangsamong-e1d13.firebasestorage.app/o/samples%2F10_%E0%B8%A2%E0%B8%B2%E0%B8%99%E0%B8%9E%E0%B8%B2%E0%B8%AB%E0%B8%99%E0%B8%B0%E0%B8%A3%E0%B8%AD%E0%B8%9A%E0%B9%80%E0%B8%A1%E0%B8%B7%E0%B8%AD%E0%B8%87_picked_added_logo.png?alt=media&amp;token=0b7a638c-2521-4e6c-bd19-0e6282758c9f</v>
      </c>
      <c r="O45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6" spans="1:15" ht="22.05" customHeight="1" x14ac:dyDescent="0.35">
      <c r="A46" s="12" t="s">
        <v>132</v>
      </c>
      <c r="B46" s="4" t="str">
        <f t="shared" si="14"/>
        <v>57</v>
      </c>
      <c r="C46" s="4" t="str">
        <f t="shared" si="15"/>
        <v>เล่มที่ : 11 รถก่อสร้างคันใหญ่</v>
      </c>
      <c r="D46" s="4" t="str">
        <f t="shared" si="16"/>
        <v>คลังสมอง</v>
      </c>
      <c r="E46" s="4" t="str">
        <f t="shared" si="17"/>
        <v>คลังสมอง KLANGSAMONG</v>
      </c>
      <c r="F46" s="4" t="str">
        <f t="shared" si="18"/>
        <v>สมุดระบายสีเด็ก</v>
      </c>
      <c r="G46" s="4" t="str">
        <f t="shared" si="19"/>
        <v>159</v>
      </c>
      <c r="H46" s="4" t="str">
        <f t="shared" si="20"/>
        <v>250</v>
      </c>
      <c r="I46" s="4" t="str">
        <f t="shared" si="21"/>
        <v>20 หน้า</v>
      </c>
      <c r="J46" s="4" t="str">
        <f t="shared" si="22"/>
        <v>PDF</v>
      </c>
      <c r="K46" s="4" t="str">
        <f t="shared" si="23"/>
        <v>แนะนำ</v>
      </c>
      <c r="L46" s="4" t="str">
        <f t="shared" si="24"/>
        <v>https://firebasestorage.googleapis.com/v0/b/klangsamong-e1d13.firebasestorage.app/o/covers%2FCover%20-%20KLANGSAMONG%20-%20A4_split_10_picked.png?alt=media&amp;token=9355a645-9c01-4d5d-93ac-a75e26a3d76e</v>
      </c>
      <c r="M46" s="4" t="str">
        <f t="shared" si="25"/>
        <v>https://drive.google.com/file/d/1JYgu0LOPJYSovANyFd04312mG25A_Rc1/view?usp=drive_link</v>
      </c>
      <c r="N46" s="4" t="str">
        <f t="shared" si="26"/>
        <v>https://firebasestorage.googleapis.com/v0/b/klangsamong-e1d13.firebasestorage.app/o/samples%2F11_%E0%B8%A3%E0%B8%96%E0%B8%81%E0%B9%88%E0%B8%AD%E0%B8%AA%E0%B8%A3%E0%B9%89%E0%B8%B2%E0%B8%87%E0%B8%84%E0%B8%B1%E0%B8%99%E0%B9%83%E0%B8%AB%E0%B8%8D%E0%B9%88_picked_added_logo.png?alt=media&amp;token=ee3d05f3-c602-4ef4-a772-0ed401c4a2dc</v>
      </c>
      <c r="O46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7" spans="1:15" ht="22.05" customHeight="1" x14ac:dyDescent="0.35">
      <c r="A47" s="12" t="s">
        <v>133</v>
      </c>
      <c r="B47" s="4" t="str">
        <f t="shared" si="14"/>
        <v>58</v>
      </c>
      <c r="C47" s="4" t="str">
        <f t="shared" si="15"/>
        <v>เล่มที่ : 12 รูปทรงและลวดลาย</v>
      </c>
      <c r="D47" s="4" t="str">
        <f t="shared" si="16"/>
        <v>คลังสมอง</v>
      </c>
      <c r="E47" s="4" t="str">
        <f t="shared" si="17"/>
        <v>คลังสมอง KLANGSAMONG</v>
      </c>
      <c r="F47" s="4" t="str">
        <f t="shared" si="18"/>
        <v>สมุดระบายสีเด็ก</v>
      </c>
      <c r="G47" s="4" t="str">
        <f t="shared" si="19"/>
        <v>159</v>
      </c>
      <c r="H47" s="4" t="str">
        <f t="shared" si="20"/>
        <v>250</v>
      </c>
      <c r="I47" s="4" t="str">
        <f t="shared" si="21"/>
        <v>20 หน้า</v>
      </c>
      <c r="J47" s="4" t="str">
        <f t="shared" si="22"/>
        <v>PDF</v>
      </c>
      <c r="K47" s="4" t="str">
        <f t="shared" si="23"/>
        <v>แนะนำ</v>
      </c>
      <c r="L47" s="4" t="str">
        <f t="shared" si="24"/>
        <v>https://firebasestorage.googleapis.com/v0/b/klangsamong-e1d13.firebasestorage.app/o/covers%2FCover%20-%20KLANGSAMONG%20-%20A4_split_11_picked.png?alt=media&amp;token=867f818e-b769-4a1c-a981-fe9efefc49e0</v>
      </c>
      <c r="M47" s="4" t="str">
        <f t="shared" si="25"/>
        <v>https://drive.google.com/file/d/1aUTsBojojgBn6i3vYHlPHAQFmeZzLt6C/view?usp=drive_link</v>
      </c>
      <c r="N47" s="4" t="str">
        <f t="shared" si="26"/>
        <v>https://firebasestorage.googleapis.com/v0/b/klangsamong-e1d13.firebasestorage.app/o/samples%2F12_%E0%B8%A3%E0%B8%B9%E0%B8%9B%E0%B8%97%E0%B8%A3%E0%B8%87%E0%B9%81%E0%B8%A5%E0%B8%B0%E0%B8%A5%E0%B8%A7%E0%B8%94%E0%B8%A5%E0%B8%B2%E0%B8%A2_picked_added_logo.png?alt=media&amp;token=90a88223-f2a9-49ff-a521-a68011103797</v>
      </c>
      <c r="O47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8" spans="1:15" ht="22.05" customHeight="1" x14ac:dyDescent="0.35">
      <c r="A48" s="12" t="s">
        <v>134</v>
      </c>
      <c r="B48" s="4" t="str">
        <f t="shared" si="14"/>
        <v>59</v>
      </c>
      <c r="C48" s="4" t="str">
        <f t="shared" si="15"/>
        <v>เล่มที่ : 13 วันหยุดกับครอบครัว</v>
      </c>
      <c r="D48" s="4" t="str">
        <f t="shared" si="16"/>
        <v>คลังสมอง</v>
      </c>
      <c r="E48" s="4" t="str">
        <f t="shared" si="17"/>
        <v>คลังสมอง KLANGSAMONG</v>
      </c>
      <c r="F48" s="4" t="str">
        <f t="shared" si="18"/>
        <v>สมุดระบายสีเด็ก</v>
      </c>
      <c r="G48" s="4" t="str">
        <f t="shared" si="19"/>
        <v>159</v>
      </c>
      <c r="H48" s="4" t="str">
        <f t="shared" si="20"/>
        <v>250</v>
      </c>
      <c r="I48" s="4" t="str">
        <f t="shared" si="21"/>
        <v>20 หน้า</v>
      </c>
      <c r="J48" s="4" t="str">
        <f t="shared" si="22"/>
        <v>PDF</v>
      </c>
      <c r="K48" s="4" t="str">
        <f t="shared" si="23"/>
        <v>แนะนำ</v>
      </c>
      <c r="L48" s="4" t="str">
        <f t="shared" si="24"/>
        <v>https://firebasestorage.googleapis.com/v0/b/klangsamong-e1d13.firebasestorage.app/o/covers%2FCover%20-%20KLANGSAMONG%20-%20A4_split_13_picked.png?alt=media&amp;token=8c97da94-bf61-48a2-b816-20604e2a07f3</v>
      </c>
      <c r="M48" s="4" t="str">
        <f t="shared" si="25"/>
        <v>https://drive.google.com/file/d/1zfQHM54RbrQoUtDFZLymjOkUFERgrZJZ/view?usp=drive_link</v>
      </c>
      <c r="N48" s="4" t="str">
        <f t="shared" si="26"/>
        <v>https://firebasestorage.googleapis.com/v0/b/klangsamong-e1d13.firebasestorage.app/o/samples%2F13_%E0%B8%A7%E0%B8%B1%E0%B8%99%E0%B8%AB%E0%B8%A2%E0%B8%B8%E0%B8%94%E0%B8%81%E0%B8%B1%E0%B8%9A%E0%B8%84%E0%B8%A3%E0%B8%AD%E0%B8%9A%E0%B8%84%E0%B8%A3%E0%B8%B1%E0%B8%A7_picked_added_logo.png?alt=media&amp;token=39bfb4bd-9f6e-421a-94da-2d969b8e95ac</v>
      </c>
      <c r="O48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49" spans="1:15" ht="22.05" customHeight="1" x14ac:dyDescent="0.35">
      <c r="A49" s="12" t="s">
        <v>135</v>
      </c>
      <c r="B49" s="4" t="str">
        <f t="shared" si="14"/>
        <v>60</v>
      </c>
      <c r="C49" s="4" t="str">
        <f t="shared" si="15"/>
        <v>เล่มที่ : 14 สัตว์น่ารักรอบตัว</v>
      </c>
      <c r="D49" s="4" t="str">
        <f t="shared" si="16"/>
        <v>คลังสมอง</v>
      </c>
      <c r="E49" s="4" t="str">
        <f t="shared" si="17"/>
        <v>คลังสมอง KLANGSAMONG</v>
      </c>
      <c r="F49" s="4" t="str">
        <f t="shared" si="18"/>
        <v>สมุดระบายสีเด็ก</v>
      </c>
      <c r="G49" s="4" t="str">
        <f t="shared" si="19"/>
        <v>159</v>
      </c>
      <c r="H49" s="4" t="str">
        <f t="shared" si="20"/>
        <v>250</v>
      </c>
      <c r="I49" s="4" t="str">
        <f t="shared" si="21"/>
        <v>20 หน้า</v>
      </c>
      <c r="J49" s="4" t="str">
        <f t="shared" si="22"/>
        <v>PDF</v>
      </c>
      <c r="K49" s="4" t="str">
        <f t="shared" si="23"/>
        <v>แนะนำ</v>
      </c>
      <c r="L49" s="4" t="str">
        <f t="shared" si="24"/>
        <v>https://firebasestorage.googleapis.com/v0/b/klangsamong-e1d13.firebasestorage.app/o/covers%2FCover%20-%20KLANGSAMONG%20-%20A4_split_15_picked.png?alt=media&amp;token=fea69e47-4458-412c-9318-0171db0c34f1</v>
      </c>
      <c r="M49" s="4" t="str">
        <f t="shared" si="25"/>
        <v>https://drive.google.com/file/d/1XrKhScdx3fcq1wCxXHt3ktMFBnnUN4C_/view?usp=drive_link</v>
      </c>
      <c r="N49" s="4" t="str">
        <f t="shared" si="26"/>
        <v>https://firebasestorage.googleapis.com/v0/b/klangsamong-e1d13.firebasestorage.app/o/samples%2F14_%E0%B8%AA%E0%B8%B1%E0%B8%95%E0%B8%A7%E0%B9%8C%E0%B8%99%E0%B9%88%E0%B8%B2%E0%B8%A3%E0%B8%B1%E0%B8%81%E0%B8%A3%E0%B8%AD%E0%B8%9A%E0%B8%95%E0%B8%B1%E0%B8%A7_picked_added_logo.png?alt=media&amp;token=da4a6715-b33b-4360-a037-08a62dec81a7</v>
      </c>
      <c r="O49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0" spans="1:15" ht="22.05" customHeight="1" x14ac:dyDescent="0.35">
      <c r="A50" s="12" t="s">
        <v>136</v>
      </c>
      <c r="B50" s="4" t="str">
        <f t="shared" si="14"/>
        <v>61</v>
      </c>
      <c r="C50" s="4" t="str">
        <f t="shared" si="15"/>
        <v>เล่มที่ : 15 สัตว์ป่าแสนสนุก</v>
      </c>
      <c r="D50" s="4" t="str">
        <f t="shared" si="16"/>
        <v>คลังสมอง</v>
      </c>
      <c r="E50" s="4" t="str">
        <f t="shared" si="17"/>
        <v>คลังสมอง KLANGSAMONG</v>
      </c>
      <c r="F50" s="4" t="str">
        <f t="shared" si="18"/>
        <v>สมุดระบายสีเด็ก</v>
      </c>
      <c r="G50" s="4" t="str">
        <f t="shared" si="19"/>
        <v>159</v>
      </c>
      <c r="H50" s="4" t="str">
        <f t="shared" si="20"/>
        <v>250</v>
      </c>
      <c r="I50" s="4" t="str">
        <f t="shared" si="21"/>
        <v>20 หน้า</v>
      </c>
      <c r="J50" s="4" t="str">
        <f t="shared" si="22"/>
        <v>PDF</v>
      </c>
      <c r="K50" s="4" t="str">
        <f t="shared" si="23"/>
        <v>แนะนำ</v>
      </c>
      <c r="L50" s="4" t="str">
        <f t="shared" si="24"/>
        <v>https://firebasestorage.googleapis.com/v0/b/klangsamong-e1d13.firebasestorage.app/o/covers%2FCover%20-%20KLANGSAMONG%20-%20A4_split_16_picked.png?alt=media&amp;token=305e215d-9f66-4b52-8dae-381a72dbf210</v>
      </c>
      <c r="M50" s="4" t="str">
        <f t="shared" si="25"/>
        <v>https://drive.google.com/file/d/1GvVjIFOWA38QdKLFoCdVpjLFVW2kDyA2/view?usp=drive_link</v>
      </c>
      <c r="N50" s="4" t="str">
        <f t="shared" si="26"/>
        <v>https://firebasestorage.googleapis.com/v0/b/klangsamong-e1d13.firebasestorage.app/o/samples%2F15_%E0%B8%AA%E0%B8%B1%E0%B8%95%E0%B8%A7%E0%B9%8C%E0%B8%9B%E0%B9%88%E0%B8%B2%E0%B9%81%E0%B8%AA%E0%B8%99%E0%B8%AA%E0%B8%99%E0%B8%B8%E0%B8%81_picked_added_logo.png?alt=media&amp;token=90402327-5685-4324-b715-d608a20f0767</v>
      </c>
      <c r="O50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1" spans="1:15" ht="22.05" customHeight="1" x14ac:dyDescent="0.35">
      <c r="A51" s="12" t="s">
        <v>137</v>
      </c>
      <c r="B51" s="4" t="str">
        <f t="shared" si="14"/>
        <v>62</v>
      </c>
      <c r="C51" s="4" t="str">
        <f t="shared" si="15"/>
        <v>เล่มที่ : 16 สัตว์ใต้ทะเล</v>
      </c>
      <c r="D51" s="4" t="str">
        <f t="shared" si="16"/>
        <v>คลังสมอง</v>
      </c>
      <c r="E51" s="4" t="str">
        <f t="shared" si="17"/>
        <v>คลังสมอง KLANGSAMONG</v>
      </c>
      <c r="F51" s="4" t="str">
        <f t="shared" si="18"/>
        <v>สมุดระบายสีเด็ก</v>
      </c>
      <c r="G51" s="4" t="str">
        <f t="shared" si="19"/>
        <v>159</v>
      </c>
      <c r="H51" s="4" t="str">
        <f t="shared" si="20"/>
        <v>250</v>
      </c>
      <c r="I51" s="4" t="str">
        <f t="shared" si="21"/>
        <v>20 หน้า</v>
      </c>
      <c r="J51" s="4" t="str">
        <f t="shared" si="22"/>
        <v>PDF</v>
      </c>
      <c r="K51" s="4" t="str">
        <f t="shared" si="23"/>
        <v>แนะนำ</v>
      </c>
      <c r="L51" s="4" t="str">
        <f t="shared" si="24"/>
        <v>https://firebasestorage.googleapis.com/v0/b/klangsamong-e1d13.firebasestorage.app/o/covers%2FCover%20-%20KLANGSAMONG%20-%20A4_split_14_picked.png?alt=media&amp;token=482f56e3-2eb2-4576-8f01-1db9c53b91dd</v>
      </c>
      <c r="M51" s="4" t="str">
        <f t="shared" si="25"/>
        <v>https://drive.google.com/file/d/1KmfXjgvb37yBxjq2nxCEOe6Wof9gjMXh/view?usp=drive_link</v>
      </c>
      <c r="N51" s="4" t="str">
        <f t="shared" si="26"/>
        <v>https://firebasestorage.googleapis.com/v0/b/klangsamong-e1d13.firebasestorage.app/o/samples%2F16_%E0%B8%AA%E0%B8%B1%E0%B8%95%E0%B8%A7%E0%B9%8C%E0%B9%83%E0%B8%95%E0%B9%89%E0%B8%97%E0%B8%B0%E0%B9%80%E0%B8%A5_picked_added_logo.png?alt=media&amp;token=71f917ab-a14c-43a9-9f06-6763fef4b4ae</v>
      </c>
      <c r="O51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2" spans="1:15" ht="22.05" customHeight="1" x14ac:dyDescent="0.35">
      <c r="A52" s="12" t="s">
        <v>138</v>
      </c>
      <c r="B52" s="4" t="str">
        <f t="shared" si="14"/>
        <v>63</v>
      </c>
      <c r="C52" s="4" t="str">
        <f t="shared" si="15"/>
        <v>เล่มที่ : 17 สัตว์ในฟาร์ม</v>
      </c>
      <c r="D52" s="4" t="str">
        <f t="shared" si="16"/>
        <v>คลังสมอง</v>
      </c>
      <c r="E52" s="4" t="str">
        <f t="shared" si="17"/>
        <v>คลังสมอง KLANGSAMONG</v>
      </c>
      <c r="F52" s="4" t="str">
        <f t="shared" si="18"/>
        <v>สมุดระบายสีเด็ก</v>
      </c>
      <c r="G52" s="4" t="str">
        <f t="shared" si="19"/>
        <v>159</v>
      </c>
      <c r="H52" s="4" t="str">
        <f t="shared" si="20"/>
        <v>250</v>
      </c>
      <c r="I52" s="4" t="str">
        <f t="shared" si="21"/>
        <v>20 หน้า</v>
      </c>
      <c r="J52" s="4" t="str">
        <f t="shared" si="22"/>
        <v>PDF</v>
      </c>
      <c r="K52" s="4" t="str">
        <f t="shared" si="23"/>
        <v>แนะนำ</v>
      </c>
      <c r="L52" s="4" t="str">
        <f t="shared" si="24"/>
        <v>https://firebasestorage.googleapis.com/v0/b/klangsamong-e1d13.firebasestorage.app/o/covers%2Fcover%20-%20%E0%B8%AA%E0%B8%B1%E0%B8%95%E0%B8%A7%E0%B9%8C%E0%B9%83%E0%B8%99%E0%B8%9F%E0%B8%B2%E0%B8%A3%E0%B9%8C%E0%B8%A1_picked.png?alt=media&amp;token=a13a8ecb-8bc7-43c3-845d-0f76367d28bc</v>
      </c>
      <c r="M52" s="4" t="str">
        <f t="shared" si="25"/>
        <v>https://drive.google.com/file/d/1NCGBfwPMUoxrlcDpvcvf9vfJFzkcB4wk/view?usp=drive_link</v>
      </c>
      <c r="N52" s="4" t="str">
        <f t="shared" si="26"/>
        <v>https://firebasestorage.googleapis.com/v0/b/klangsamong-e1d13.firebasestorage.app/o/samples%2F17_%E0%B8%AA%E0%B8%B1%E0%B8%95%E0%B8%A7%E0%B9%8C%E0%B9%83%E0%B8%99%E0%B8%9F%E0%B8%B2%E0%B8%A3%E0%B9%8C%E0%B8%A1_picked_added_logo.png?alt=media&amp;token=c4c38516-4aad-453e-9f63-4e920be82d0e</v>
      </c>
      <c r="O52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3" spans="1:15" ht="22.05" customHeight="1" x14ac:dyDescent="0.35">
      <c r="A53" s="12" t="s">
        <v>139</v>
      </c>
      <c r="B53" s="4" t="str">
        <f t="shared" si="14"/>
        <v>64</v>
      </c>
      <c r="C53" s="4" t="str">
        <f t="shared" si="15"/>
        <v>เล่มที่ : 18 อาชีพในฝัน</v>
      </c>
      <c r="D53" s="4" t="str">
        <f t="shared" si="16"/>
        <v>คลังสมอง</v>
      </c>
      <c r="E53" s="4" t="str">
        <f t="shared" si="17"/>
        <v>คลังสมอง KLANGSAMONG</v>
      </c>
      <c r="F53" s="4" t="str">
        <f t="shared" si="18"/>
        <v>สมุดระบายสีเด็ก</v>
      </c>
      <c r="G53" s="4" t="str">
        <f t="shared" si="19"/>
        <v>159</v>
      </c>
      <c r="H53" s="4" t="str">
        <f t="shared" si="20"/>
        <v>250</v>
      </c>
      <c r="I53" s="4" t="str">
        <f t="shared" si="21"/>
        <v>20 หน้า</v>
      </c>
      <c r="J53" s="4" t="str">
        <f t="shared" si="22"/>
        <v>PDF</v>
      </c>
      <c r="K53" s="4" t="str">
        <f t="shared" si="23"/>
        <v>แนะนำ</v>
      </c>
      <c r="L53" s="4" t="str">
        <f t="shared" si="24"/>
        <v>https://firebasestorage.googleapis.com/v0/b/klangsamong-e1d13.firebasestorage.app/o/covers%2FCover%20-%20KLANGSAMONG%20-%20A4_split_17_picked.png?alt=media&amp;token=b77de9ba-8fbb-42af-8ddd-88acf8e6dd1b</v>
      </c>
      <c r="M53" s="4" t="str">
        <f t="shared" si="25"/>
        <v>https://drive.google.com/file/d/172xUtZomVXui9JsO0_1djEGNuHnnjB8p/view?usp=drive_link</v>
      </c>
      <c r="N53" s="4" t="str">
        <f t="shared" si="26"/>
        <v>https://firebasestorage.googleapis.com/v0/b/klangsamong-e1d13.firebasestorage.app/o/samples%2F18_%E0%B8%AD%E0%B8%B2%E0%B8%8A%E0%B8%B5%E0%B8%9E%E0%B9%83%E0%B8%99%E0%B8%9D%E0%B8%B1%E0%B8%99_picked_added_logo.png?alt=media&amp;token=e3c72a74-8e3a-42c5-8e40-c0ec203258c5</v>
      </c>
      <c r="O53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4" spans="1:15" ht="22.05" customHeight="1" x14ac:dyDescent="0.35">
      <c r="A54" s="12" t="s">
        <v>140</v>
      </c>
      <c r="B54" s="4" t="str">
        <f t="shared" si="14"/>
        <v>65</v>
      </c>
      <c r="C54" s="4" t="str">
        <f t="shared" si="15"/>
        <v>เล่มที่ : 19 อาหารและขนมแสนน่ารัก</v>
      </c>
      <c r="D54" s="4" t="str">
        <f t="shared" si="16"/>
        <v>คลังสมอง</v>
      </c>
      <c r="E54" s="4" t="str">
        <f t="shared" si="17"/>
        <v>คลังสมอง KLANGSAMONG</v>
      </c>
      <c r="F54" s="4" t="str">
        <f t="shared" si="18"/>
        <v>สมุดระบายสีเด็ก</v>
      </c>
      <c r="G54" s="4" t="str">
        <f t="shared" si="19"/>
        <v>159</v>
      </c>
      <c r="H54" s="4" t="str">
        <f t="shared" si="20"/>
        <v>250</v>
      </c>
      <c r="I54" s="4" t="str">
        <f t="shared" si="21"/>
        <v>20 หน้า</v>
      </c>
      <c r="J54" s="4" t="str">
        <f t="shared" si="22"/>
        <v>PDF</v>
      </c>
      <c r="K54" s="4" t="str">
        <f t="shared" si="23"/>
        <v>แนะนำ</v>
      </c>
      <c r="L54" s="4" t="str">
        <f t="shared" si="24"/>
        <v>https://firebasestorage.googleapis.com/v0/b/klangsamong-e1d13.firebasestorage.app/o/covers%2F1785422357051_Cover_-_KLANGSAMONG_-_A4_split_18_picked_reduce_size.png?alt=media</v>
      </c>
      <c r="M54" s="4" t="str">
        <f t="shared" si="25"/>
        <v>https://drive.google.com/file/d/1TKgsSFETybwUVNqoh17298O5w9_mVf_v/view?usp=drive_link</v>
      </c>
      <c r="N54" s="4" t="str">
        <f t="shared" si="26"/>
        <v>https://firebasestorage.googleapis.com/v0/b/klangsamong-e1d13.firebasestorage.app/o/samples%2F19_%E0%B8%AD%E0%B8%B2%E0%B8%AB%E0%B8%B2%E0%B8%A3%E0%B9%81%E0%B8%A5%E0%B8%B0%E0%B8%82%E0%B8%99%E0%B8%A1%E0%B9%81%E0%B8%AA%E0%B8%99%E0%B8%99%E0%B9%88%E0%B8%B2%E0%B8%A3%E0%B8%B1%E0%B8%81_picked_added_logo.png?alt=media&amp;token=d67cf391-83fa-400b-b4a5-67963eafba2b</v>
      </c>
      <c r="O54" s="4" t="str">
        <f t="shared" si="27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5" spans="1:15" ht="15" x14ac:dyDescent="0.35">
      <c r="A55" t="s">
        <v>141</v>
      </c>
      <c r="B55" s="4" t="str">
        <f t="shared" si="14"/>
        <v>66</v>
      </c>
      <c r="C55" s="4" t="str">
        <f t="shared" si="15"/>
        <v>เล่มที่ : 20 โรงเรียนแสนสุข</v>
      </c>
      <c r="D55" s="4" t="str">
        <f t="shared" ref="D55:D85" si="28">IF(ISBLANK(A55), "", TRIM(SUBSTITUTE(_xlfn.TEXTBEFORE(_xlfn.TEXTAFTER(IF(ISNUMBER(SEARCH("VALUES", A55)), _xlfn.TEXTAFTER(A55, "VALUES"), A55), ",", 2), ","), "'", "")))</f>
        <v>คลังสมอง</v>
      </c>
      <c r="E55" s="4" t="str">
        <f t="shared" ref="E55:E85" si="29">IF(ISBLANK(A55), "", TRIM(SUBSTITUTE(_xlfn.TEXTBEFORE(_xlfn.TEXTAFTER(IF(ISNUMBER(SEARCH("VALUES", A55)), _xlfn.TEXTAFTER(A55, "VALUES"), A55), ",", 3), ","), "'", "")))</f>
        <v>คลังสมอง KLANGSAMONG</v>
      </c>
      <c r="F55" s="4" t="str">
        <f t="shared" ref="F55:F85" si="30">IF(ISBLANK(A55), "", TRIM(SUBSTITUTE(_xlfn.TEXTBEFORE(_xlfn.TEXTAFTER(IF(ISNUMBER(SEARCH("VALUES", A55)), _xlfn.TEXTAFTER(A55, "VALUES"), A55), ",", 4), ","), "'", "")))</f>
        <v>สมุดระบายสีเด็ก</v>
      </c>
      <c r="G55" s="4" t="str">
        <f t="shared" ref="G55:G85" si="31">IF(ISBLANK(A55), "", TRIM(SUBSTITUTE(_xlfn.TEXTBEFORE(_xlfn.TEXTAFTER(IF(ISNUMBER(SEARCH("VALUES", A55)), _xlfn.TEXTAFTER(A55, "VALUES"), A55), ",", 5), ","), "'", "")))</f>
        <v>159</v>
      </c>
      <c r="H55" s="4" t="str">
        <f t="shared" ref="H55:H85" si="32">IF(ISBLANK(A55), "", TRIM(SUBSTITUTE(_xlfn.TEXTBEFORE(_xlfn.TEXTAFTER(IF(ISNUMBER(SEARCH("VALUES", A55)), _xlfn.TEXTAFTER(A55, "VALUES"), A55), ",", 6), ","), "'", "")))</f>
        <v>250</v>
      </c>
      <c r="I55" s="4" t="str">
        <f t="shared" ref="I55:I85" si="33">IF(ISBLANK(A55), "", TRIM(SUBSTITUTE(_xlfn.TEXTBEFORE(_xlfn.TEXTAFTER(IF(ISNUMBER(SEARCH("VALUES", A55)), _xlfn.TEXTAFTER(A55, "VALUES"), A55), ",", 7), ","), "'", "")))</f>
        <v>20 หน้า</v>
      </c>
      <c r="J55" s="4" t="str">
        <f t="shared" ref="J55:J85" si="34">IF(ISBLANK(A55), "", TRIM(SUBSTITUTE(_xlfn.TEXTBEFORE(_xlfn.TEXTAFTER(IF(ISNUMBER(SEARCH("VALUES", A55)), _xlfn.TEXTAFTER(A55, "VALUES"), A55), ",", 8), ","), "'", "")))</f>
        <v>PDF</v>
      </c>
      <c r="K55" s="4" t="str">
        <f t="shared" ref="K55:K85" si="35">IF(ISBLANK(A55), "", TRIM(SUBSTITUTE(_xlfn.TEXTBEFORE(_xlfn.TEXTAFTER(IF(ISNUMBER(SEARCH("VALUES", A55)), _xlfn.TEXTAFTER(A55, "VALUES"), A55), ",", 9), ","), "'", "")))</f>
        <v>แนะนำ</v>
      </c>
      <c r="L55" s="4" t="str">
        <f t="shared" ref="L55:L85" si="36">IF(ISBLANK(A55), "", TRIM(SUBSTITUTE(_xlfn.TEXTBEFORE(_xlfn.TEXTAFTER(IF(ISNUMBER(SEARCH("VALUES", A55)), _xlfn.TEXTAFTER(A55, "VALUES"), A55), ",", 10), ","), "'", "")))</f>
        <v>https://firebasestorage.googleapis.com/v0/b/klangsamong-e1d13.firebasestorage.app/o/covers%2FCover%20-%20KLANGSAMONG%20-%20A4_split_12_picked.png?alt=media&amp;token=edeaf88f-9ded-4010-828c-4f6bc8f4d7e7</v>
      </c>
      <c r="M55" s="4" t="str">
        <f t="shared" ref="M55:M85" si="37">IF(ISBLANK(A55), "", TRIM(SUBSTITUTE(_xlfn.TEXTBEFORE(_xlfn.TEXTAFTER(IF(ISNUMBER(SEARCH("VALUES", A55)), _xlfn.TEXTAFTER(A55, "VALUES"), A55), ",", 11), ","), "'", "")))</f>
        <v>https://drive.google.com/file/d/1fagVzRRaUq17q2WPfrPFfC4a1PkvKE6p/view?usp=drive_link</v>
      </c>
      <c r="N55" s="4" t="str">
        <f t="shared" ref="N55:N85" si="38">IF(ISBLANK(A55), "", TRIM(SUBSTITUTE(_xlfn.TEXTBEFORE(_xlfn.TEXTAFTER(IF(ISNUMBER(SEARCH("VALUES", A55)), _xlfn.TEXTAFTER(A55, "VALUES"), A55), ",", 12), ","), "'", "")))</f>
        <v>https://firebasestorage.googleapis.com/v0/b/klangsamong-e1d13.firebasestorage.app/o/samples%2F20_%E0%B9%82%E0%B8%A3%E0%B8%87%E0%B9%80%E0%B8%A3%E0%B8%B5%E0%B8%A2%E0%B8%99%E0%B9%81%E0%B8%AA%E0%B8%99%E0%B8%AA%E0%B8%B8%E0%B8%82_picked_added_logo.png?alt=media&amp;token=31d70d46-7d38-49e8-a919-f35c1b49e59d</v>
      </c>
      <c r="O55" s="4" t="str">
        <f t="shared" ref="O55:O85" si="39">IF(ISBLANK(A55), "", TRIM(SUBSTITUTE(SUBSTITUTE(SUBSTITUTE(_xlfn.TEXTAFTER(IF(ISNUMBER(SEARCH("VALUES", A55)), _xlfn.TEXTAFTER(A55, "VALUES"), A55), ",", 13), ");", ""), ")", ""), "'", "")))</f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6" spans="1:15" ht="15" x14ac:dyDescent="0.35">
      <c r="A56" t="s">
        <v>142</v>
      </c>
      <c r="B56" s="4" t="str">
        <f t="shared" si="14"/>
        <v>86</v>
      </c>
      <c r="C56" s="4" t="str">
        <f t="shared" si="15"/>
        <v>เล่มที่ : 21 ดินแดนขนมหวานแฟนตาซี</v>
      </c>
      <c r="D56" s="4" t="str">
        <f t="shared" si="28"/>
        <v>คลังสมอง</v>
      </c>
      <c r="E56" s="4" t="str">
        <f t="shared" si="29"/>
        <v>คลังสมอง KLANGSAMONG</v>
      </c>
      <c r="F56" s="4" t="str">
        <f t="shared" si="30"/>
        <v>สมุดระบายสีเด็ก</v>
      </c>
      <c r="G56" s="4" t="str">
        <f t="shared" si="31"/>
        <v>159</v>
      </c>
      <c r="H56" s="4" t="str">
        <f t="shared" si="32"/>
        <v>199</v>
      </c>
      <c r="I56" s="4" t="str">
        <f t="shared" si="33"/>
        <v>20 หน้า</v>
      </c>
      <c r="J56" s="4" t="str">
        <f t="shared" si="34"/>
        <v>PDF</v>
      </c>
      <c r="K56" s="4" t="str">
        <f t="shared" si="35"/>
        <v>แนะนำ</v>
      </c>
      <c r="L56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21_cover.png?alt=media&amp;token=078ed518-10cd-4d68-b09c-3b145ec03934</v>
      </c>
      <c r="M56" s="4" t="str">
        <f t="shared" si="37"/>
        <v>https://drive.google.com/file/d/1N4-FPfvB_-UJm0Z7wivWXD_OKpluwweA/view?usp=sharing</v>
      </c>
      <c r="N56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21_%E0%B8%94%E0%B8%B4%E0%B8%99%E0%B9%81%E0%B8%94%E0%B8%99%E0%B8%82%E0%B8%99%E0%B8%A1%E0%B8%AB%E0%B8%A7%E0%B8%B2%E0%B8%99%E0%B9%81%E0%B8%9F%E0%B8%99%E0%B8%95%E0%B8%B2%E0%B8%8B%E0%B8%B5.png?alt=media&amp;token=90bf98c9-a1ed-410a-96af-c47b7a7c7294</v>
      </c>
      <c r="O56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7" spans="1:15" ht="15" x14ac:dyDescent="0.35">
      <c r="A57" t="s">
        <v>143</v>
      </c>
      <c r="B57" s="4" t="str">
        <f t="shared" si="14"/>
        <v>87</v>
      </c>
      <c r="C57" s="4" t="str">
        <f t="shared" si="15"/>
        <v>เล่มที่ : 22 นางเงือกใต้มหาสมุทร</v>
      </c>
      <c r="D57" s="4" t="str">
        <f t="shared" si="28"/>
        <v>คลังสมอง</v>
      </c>
      <c r="E57" s="4" t="str">
        <f t="shared" si="29"/>
        <v>คลังสมอง KLANGSAMONG</v>
      </c>
      <c r="F57" s="4" t="str">
        <f t="shared" si="30"/>
        <v>สมุดระบายสีเด็ก</v>
      </c>
      <c r="G57" s="4" t="str">
        <f t="shared" si="31"/>
        <v>159</v>
      </c>
      <c r="H57" s="4" t="str">
        <f t="shared" si="32"/>
        <v>199</v>
      </c>
      <c r="I57" s="4" t="str">
        <f t="shared" si="33"/>
        <v>20 หน้า</v>
      </c>
      <c r="J57" s="4" t="str">
        <f t="shared" si="34"/>
        <v>PDF</v>
      </c>
      <c r="K57" s="4" t="str">
        <f t="shared" si="35"/>
        <v>แนะนำ</v>
      </c>
      <c r="L57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22_cover.png?alt=media&amp;token=6f0c09d5-82b2-47b4-9b18-4c5b932dedef</v>
      </c>
      <c r="M57" s="4" t="str">
        <f t="shared" si="37"/>
        <v>https://drive.google.com/file/d/1ch2I-e0Y-SneDoLgHN-1aWcx_dQT-Ukp/view?usp=sharing</v>
      </c>
      <c r="N57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22_%E0%B8%99%E0%B8%B2%E0%B8%87%E0%B9%80%E0%B8%87%E0%B8%B7%E0%B8%AD%E0%B8%81%E0%B9%83%E0%B8%95%E0%B9%89%E0%B8%A1%E0%B8%AB%E0%B8%B2%E0%B8%AA%E0%B8%A1%E0%B8%B8%E0%B8%97%E0%B8%A3.png?alt=media&amp;token=a30e56dd-f5ab-4526-b553-b3e8ca14f66b</v>
      </c>
      <c r="O57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8" spans="1:15" ht="15" x14ac:dyDescent="0.35">
      <c r="A58" t="s">
        <v>144</v>
      </c>
      <c r="B58" s="4" t="str">
        <f t="shared" si="14"/>
        <v>88</v>
      </c>
      <c r="C58" s="4" t="str">
        <f t="shared" si="15"/>
        <v>เล่มที่ : 23 ปาร์ตี้วันเกิดแสนสนุก</v>
      </c>
      <c r="D58" s="4" t="str">
        <f t="shared" si="28"/>
        <v>คลังสมอง</v>
      </c>
      <c r="E58" s="4" t="str">
        <f t="shared" si="29"/>
        <v>คลังสมอง KLANGSAMONG</v>
      </c>
      <c r="F58" s="4" t="str">
        <f t="shared" si="30"/>
        <v>สมุดระบายสีเด็ก</v>
      </c>
      <c r="G58" s="4" t="str">
        <f t="shared" si="31"/>
        <v>159</v>
      </c>
      <c r="H58" s="4" t="str">
        <f t="shared" si="32"/>
        <v>199</v>
      </c>
      <c r="I58" s="4" t="str">
        <f t="shared" si="33"/>
        <v>20 หน้า</v>
      </c>
      <c r="J58" s="4" t="str">
        <f t="shared" si="34"/>
        <v>PDF</v>
      </c>
      <c r="K58" s="4" t="str">
        <f t="shared" si="35"/>
        <v>แนะนำ</v>
      </c>
      <c r="L58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23_cover.png?alt=media&amp;token=b7cd612c-3294-459b-924a-5f1de096f7cf</v>
      </c>
      <c r="M58" s="4" t="str">
        <f t="shared" si="37"/>
        <v>https://drive.google.com/file/d/1mmQU1QW3okFQa3w0PzpUd6ihvFWjkDJV/view?usp=sharing</v>
      </c>
      <c r="N58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23_%E0%B8%9B%E0%B8%B2%E0%B8%A3%E0%B9%8C%E0%B8%95%E0%B8%B5%E0%B9%89%E0%B8%A7%E0%B8%B1%E0%B8%99%E0%B9%80%E0%B8%81%E0%B8%B4%E0%B8%94%E0%B9%81%E0%B8%AA%E0%B8%99%E0%B8%AA%E0%B8%99%E0%B8%B8%E0%B8%81.png?alt=media&amp;token=44f9b700-170b-4687-8395-cf50a85b3ed4</v>
      </c>
      <c r="O58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59" spans="1:15" ht="15" x14ac:dyDescent="0.35">
      <c r="A59" t="s">
        <v>145</v>
      </c>
      <c r="B59" s="4" t="str">
        <f t="shared" si="14"/>
        <v>89</v>
      </c>
      <c r="C59" s="4" t="str">
        <f t="shared" si="15"/>
        <v>เล่มที่ : 24 พ่อมดและแม่มดน้อย</v>
      </c>
      <c r="D59" s="4" t="str">
        <f t="shared" si="28"/>
        <v>คลังสมอง</v>
      </c>
      <c r="E59" s="4" t="str">
        <f t="shared" si="29"/>
        <v>คลังสมอง KLANGSAMONG</v>
      </c>
      <c r="F59" s="4" t="str">
        <f t="shared" si="30"/>
        <v>สมุดระบายสีเด็ก</v>
      </c>
      <c r="G59" s="4" t="str">
        <f t="shared" si="31"/>
        <v>159</v>
      </c>
      <c r="H59" s="4" t="str">
        <f t="shared" si="32"/>
        <v>199</v>
      </c>
      <c r="I59" s="4" t="str">
        <f t="shared" si="33"/>
        <v>20 หน้า</v>
      </c>
      <c r="J59" s="4" t="str">
        <f t="shared" si="34"/>
        <v>PDF</v>
      </c>
      <c r="K59" s="4" t="str">
        <f t="shared" si="35"/>
        <v>แนะนำ</v>
      </c>
      <c r="L59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24_cover.png?alt=media&amp;token=939bdca1-fe1d-47f0-9dd4-abb1a4da69a5</v>
      </c>
      <c r="M59" s="4" t="str">
        <f t="shared" si="37"/>
        <v>https://drive.google.com/file/d/1C5fUVmVayij1IcbRbZV4z0b9OEqjWnZ9/view?usp=sharing</v>
      </c>
      <c r="N59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24_%E0%B8%9E%E0%B9%88%E0%B8%AD%E0%B8%A1%E0%B8%94%E0%B9%81%E0%B8%A5%E0%B8%B0%E0%B9%81%E0%B8%A1%E0%B9%88%E0%B8%A1%E0%B8%94%E0%B8%99%E0%B9%89%E0%B8%AD%E0%B8%A2.png?alt=media&amp;token=5eb5f7b4-1954-4a33-aed2-78d8c0064753</v>
      </c>
      <c r="O59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0" spans="1:15" ht="15" x14ac:dyDescent="0.35">
      <c r="A60" t="s">
        <v>146</v>
      </c>
      <c r="B60" s="4" t="str">
        <f t="shared" si="14"/>
        <v>90</v>
      </c>
      <c r="C60" s="4" t="str">
        <f t="shared" si="15"/>
        <v>เล่มที่ : 25 ฤดูกาลทั้งสี่</v>
      </c>
      <c r="D60" s="4" t="str">
        <f t="shared" si="28"/>
        <v>คลังสมอง</v>
      </c>
      <c r="E60" s="4" t="str">
        <f t="shared" si="29"/>
        <v>คลังสมอง KLANGSAMONG</v>
      </c>
      <c r="F60" s="4" t="str">
        <f t="shared" si="30"/>
        <v>สมุดระบายสีเด็ก</v>
      </c>
      <c r="G60" s="4" t="str">
        <f t="shared" si="31"/>
        <v>159</v>
      </c>
      <c r="H60" s="4" t="str">
        <f t="shared" si="32"/>
        <v>199</v>
      </c>
      <c r="I60" s="4" t="str">
        <f t="shared" si="33"/>
        <v>20 หน้า</v>
      </c>
      <c r="J60" s="4" t="str">
        <f t="shared" si="34"/>
        <v>PDF</v>
      </c>
      <c r="K60" s="4" t="str">
        <f t="shared" si="35"/>
        <v>แนะนำ</v>
      </c>
      <c r="L60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25_cover.png?alt=media&amp;token=fd20e8b3-d268-41eb-9b5b-a44ca68b7317</v>
      </c>
      <c r="M60" s="4" t="str">
        <f t="shared" si="37"/>
        <v>https://drive.google.com/file/d/1Uw0uCdTezIHJKE43FMjY0EppJKEALXex/view?usp=sharing</v>
      </c>
      <c r="N60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25_%E0%B8%A4%E0%B8%94%E0%B8%B9%E0%B8%81%E0%B8%B2%E0%B8%A5%E0%B8%97%E0%B8%B1%E0%B9%89%E0%B8%87%E0%B8%AA%E0%B8%B5%E0%B9%88.png?alt=media&amp;token=ffac93b9-fb66-42cf-b2d0-449bebfbeffa</v>
      </c>
      <c r="O60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1" spans="1:15" ht="15" x14ac:dyDescent="0.35">
      <c r="A61" t="s">
        <v>147</v>
      </c>
      <c r="B61" s="4" t="str">
        <f t="shared" si="14"/>
        <v>91</v>
      </c>
      <c r="C61" s="4" t="str">
        <f t="shared" si="15"/>
        <v>เล่มที่ : 26 สวนสนุกหรรษา</v>
      </c>
      <c r="D61" s="4" t="str">
        <f t="shared" si="28"/>
        <v>คลังสมอง</v>
      </c>
      <c r="E61" s="4" t="str">
        <f t="shared" si="29"/>
        <v>คลังสมอง KLANGSAMONG</v>
      </c>
      <c r="F61" s="4" t="str">
        <f t="shared" si="30"/>
        <v>สมุดระบายสีเด็ก</v>
      </c>
      <c r="G61" s="4" t="str">
        <f t="shared" si="31"/>
        <v>159</v>
      </c>
      <c r="H61" s="4" t="str">
        <f t="shared" si="32"/>
        <v>199</v>
      </c>
      <c r="I61" s="4" t="str">
        <f t="shared" si="33"/>
        <v>20 หน้า</v>
      </c>
      <c r="J61" s="4" t="str">
        <f t="shared" si="34"/>
        <v>PDF</v>
      </c>
      <c r="K61" s="4" t="str">
        <f t="shared" si="35"/>
        <v>แนะนำ</v>
      </c>
      <c r="L61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26_cover.png?alt=media&amp;token=26b2afc3-3697-44ba-8d04-0804bd522a3f</v>
      </c>
      <c r="M61" s="4" t="str">
        <f t="shared" si="37"/>
        <v>https://drive.google.com/file/d/1h1YXBq2Rkez_7IlrXfCAMwNVXo5ItfcF/view?usp=sharing</v>
      </c>
      <c r="N61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26_%E0%B8%AA%E0%B8%A7%E0%B8%99%E0%B8%AA%E0%B8%99%E0%B8%B8%E0%B8%81%E0%B8%AB%E0%B8%A3%E0%B8%A3%E0%B8%A9%E0%B8%B2.png?alt=media&amp;token=fe099c65-7705-4c5e-9faa-b1c723825a01</v>
      </c>
      <c r="O61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2" spans="1:15" ht="15" x14ac:dyDescent="0.35">
      <c r="A62" t="s">
        <v>148</v>
      </c>
      <c r="B62" s="4" t="str">
        <f t="shared" si="14"/>
        <v>92</v>
      </c>
      <c r="C62" s="4" t="str">
        <f t="shared" si="15"/>
        <v>เล่มที่ : 27 สัตว์ประหลาดใจดี</v>
      </c>
      <c r="D62" s="4" t="str">
        <f t="shared" si="28"/>
        <v>คลังสมอง</v>
      </c>
      <c r="E62" s="4" t="str">
        <f t="shared" si="29"/>
        <v>คลังสมอง KLANGSAMONG</v>
      </c>
      <c r="F62" s="4" t="str">
        <f t="shared" si="30"/>
        <v>สมุดระบายสีเด็ก</v>
      </c>
      <c r="G62" s="4" t="str">
        <f t="shared" si="31"/>
        <v>159</v>
      </c>
      <c r="H62" s="4" t="str">
        <f t="shared" si="32"/>
        <v>199</v>
      </c>
      <c r="I62" s="4" t="str">
        <f t="shared" si="33"/>
        <v>20 หน้า</v>
      </c>
      <c r="J62" s="4" t="str">
        <f t="shared" si="34"/>
        <v>PDF</v>
      </c>
      <c r="K62" s="4" t="str">
        <f t="shared" si="35"/>
        <v>แนะนำ</v>
      </c>
      <c r="L62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27_cover.png?alt=media&amp;token=48c90889-96e2-4eda-850f-2aa7dd85709d</v>
      </c>
      <c r="M62" s="4" t="str">
        <f t="shared" si="37"/>
        <v>https://drive.google.com/file/d/1sKOsZVxdw2t-m02q1E061cmyUDB6mnTF/view?usp=sharing</v>
      </c>
      <c r="N62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27_%E0%B8%AA%E0%B8%B1%E0%B8%95%E0%B8%A7%E0%B9%8C%E0%B8%9B%E0%B8%A3%E0%B8%B0%E0%B8%AB%E0%B8%A5%E0%B8%B2%E0%B8%94%E0%B9%83%E0%B8%88%E0%B8%94%E0%B8%B5.png?alt=media&amp;token=4caa780a-507f-4365-9c91-6b0e2e2207b6</v>
      </c>
      <c r="O62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3" spans="1:15" ht="15" x14ac:dyDescent="0.35">
      <c r="A63" t="s">
        <v>149</v>
      </c>
      <c r="B63" s="4" t="str">
        <f t="shared" si="14"/>
        <v>93</v>
      </c>
      <c r="C63" s="4" t="str">
        <f t="shared" si="15"/>
        <v>เล่มที่ : 28 สัตว์เลี้ยงตัวแรกแสนน่ารัก</v>
      </c>
      <c r="D63" s="4" t="str">
        <f t="shared" si="28"/>
        <v>คลังสมอง</v>
      </c>
      <c r="E63" s="4" t="str">
        <f t="shared" si="29"/>
        <v>คลังสมอง KLANGSAMONG</v>
      </c>
      <c r="F63" s="4" t="str">
        <f t="shared" si="30"/>
        <v>สมุดระบายสีเด็ก</v>
      </c>
      <c r="G63" s="4" t="str">
        <f t="shared" si="31"/>
        <v>159</v>
      </c>
      <c r="H63" s="4" t="str">
        <f t="shared" si="32"/>
        <v>199</v>
      </c>
      <c r="I63" s="4" t="str">
        <f t="shared" si="33"/>
        <v>20 หน้า</v>
      </c>
      <c r="J63" s="4" t="str">
        <f t="shared" si="34"/>
        <v>PDF</v>
      </c>
      <c r="K63" s="4" t="str">
        <f t="shared" si="35"/>
        <v>แนะนำ</v>
      </c>
      <c r="L63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28_cover.png?alt=media&amp;token=480e70bf-61ad-43ec-9466-e5ab746e6017</v>
      </c>
      <c r="M63" s="4" t="str">
        <f t="shared" si="37"/>
        <v>https://drive.google.com/file/d/1G3oqcMBJf5mHgEdqPoyoczUiBFQhEvor/view?usp=sharing</v>
      </c>
      <c r="N63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28_%E0%B8%AA%E0%B8%B1%E0%B8%95%E0%B8%A7%E0%B9%8C%E0%B9%80%E0%B8%A5%E0%B8%B5%E0%B9%89%E0%B8%A2%E0%B8%87%E0%B8%95%E0%B8%B1%E0%B8%A7%E0%B9%81%E0%B8%A3%E0%B8%81%E0%B9%81%E0%B8%AA%E0%B8%99%E0%B8%99%E0%B9%88%E0%B8%B2%E0%B8%A3%E0%B8%B1%E0%B8%81.png?alt=media&amp;token=e9f524a7-4e34-438b-b908-5537df9973e8</v>
      </c>
      <c r="O63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4" spans="1:15" ht="15" x14ac:dyDescent="0.35">
      <c r="A64" t="s">
        <v>150</v>
      </c>
      <c r="B64" s="4" t="str">
        <f t="shared" si="14"/>
        <v>94</v>
      </c>
      <c r="C64" s="4" t="str">
        <f t="shared" si="15"/>
        <v>เล่มที่ : 29 เครื่องดนตรีและเสียงเพลง</v>
      </c>
      <c r="D64" s="4" t="str">
        <f t="shared" si="28"/>
        <v>คลังสมอง</v>
      </c>
      <c r="E64" s="4" t="str">
        <f t="shared" si="29"/>
        <v>คลังสมอง KLANGSAMONG</v>
      </c>
      <c r="F64" s="4" t="str">
        <f t="shared" si="30"/>
        <v>สมุดระบายสีเด็ก</v>
      </c>
      <c r="G64" s="4" t="str">
        <f t="shared" si="31"/>
        <v>159</v>
      </c>
      <c r="H64" s="4" t="str">
        <f t="shared" si="32"/>
        <v>199</v>
      </c>
      <c r="I64" s="4" t="str">
        <f t="shared" si="33"/>
        <v>20 หน้า</v>
      </c>
      <c r="J64" s="4" t="str">
        <f t="shared" si="34"/>
        <v>PDF</v>
      </c>
      <c r="K64" s="4" t="str">
        <f t="shared" si="35"/>
        <v>แนะนำ</v>
      </c>
      <c r="L64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29_cover.png?alt=media&amp;token=c5e3a8b1-7c8e-42d6-8a4e-c8829e0e0566</v>
      </c>
      <c r="M64" s="4" t="str">
        <f t="shared" si="37"/>
        <v>https://drive.google.com/file/d/1wRHfe_QmU0NiMx3BCBxiCGZ7bF8_CiRw/view?usp=sharing</v>
      </c>
      <c r="N64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29_%E0%B9%80%E0%B8%84%E0%B8%A3%E0%B8%B7%E0%B9%88%E0%B8%AD%E0%B8%87%E0%B8%94%E0%B8%99%E0%B8%95%E0%B8%A3%E0%B8%B5%E0%B9%81%E0%B8%A5%E0%B8%B0%E0%B9%80%E0%B8%AA%E0%B8%B5%E0%B8%A2%E0%B8%87%E0%B9%80%E0%B8%9E%E0%B8%A5%E0%B8%87.png?alt=media&amp;token=bc68b807-56a2-4655-a4f1-d86ba3312463</v>
      </c>
      <c r="O64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5" spans="1:15" ht="15" x14ac:dyDescent="0.35">
      <c r="A65" t="s">
        <v>151</v>
      </c>
      <c r="B65" s="4" t="str">
        <f t="shared" si="14"/>
        <v>95</v>
      </c>
      <c r="C65" s="4" t="str">
        <f t="shared" si="15"/>
        <v>เล่มที่ : 30 เครื่องบินและบอลลูน</v>
      </c>
      <c r="D65" s="4" t="str">
        <f t="shared" si="28"/>
        <v>คลังสมอง</v>
      </c>
      <c r="E65" s="4" t="str">
        <f t="shared" si="29"/>
        <v>คลังสมอง KLANGSAMONG</v>
      </c>
      <c r="F65" s="4" t="str">
        <f t="shared" si="30"/>
        <v>สมุดระบายสีเด็ก</v>
      </c>
      <c r="G65" s="4" t="str">
        <f t="shared" si="31"/>
        <v>159</v>
      </c>
      <c r="H65" s="4" t="str">
        <f t="shared" si="32"/>
        <v>199</v>
      </c>
      <c r="I65" s="4" t="str">
        <f t="shared" si="33"/>
        <v>20 หน้า</v>
      </c>
      <c r="J65" s="4" t="str">
        <f t="shared" si="34"/>
        <v>PDF</v>
      </c>
      <c r="K65" s="4" t="str">
        <f t="shared" si="35"/>
        <v>แนะนำ</v>
      </c>
      <c r="L65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30_cover.png?alt=media&amp;token=5baf589a-ae25-4ee5-a34c-ae3e59a717e5</v>
      </c>
      <c r="M65" s="4" t="str">
        <f t="shared" si="37"/>
        <v>https://drive.google.com/file/d/1QpDqxBrTcS6bCubvMb7rB5AIE4hMMwwc/view?usp=sharing</v>
      </c>
      <c r="N65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30_%E0%B9%80%E0%B8%84%E0%B8%A3%E0%B8%B7%E0%B9%88%E0%B8%AD%E0%B8%87%E0%B8%9A%E0%B8%B4%E0%B8%99%E0%B9%81%E0%B8%A5%E0%B8%B0%E0%B8%9A%E0%B8%AD%E0%B8%A5%E0%B8%A5%E0%B8%B9%E0%B8%99.png?alt=media&amp;token=3e3fa5b6-3300-4ec6-a5ac-ab1c2116c80b</v>
      </c>
      <c r="O65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6" spans="1:15" ht="15" x14ac:dyDescent="0.35">
      <c r="A66" t="s">
        <v>152</v>
      </c>
      <c r="B66" s="4" t="str">
        <f t="shared" si="14"/>
        <v>96</v>
      </c>
      <c r="C66" s="4" t="str">
        <f t="shared" si="15"/>
        <v>เล่มที่ : 31 เทพนิยายก่อนนอน</v>
      </c>
      <c r="D66" s="4" t="str">
        <f t="shared" si="28"/>
        <v>คลังสมอง</v>
      </c>
      <c r="E66" s="4" t="str">
        <f t="shared" si="29"/>
        <v>คลังสมอง KLANGSAMONG</v>
      </c>
      <c r="F66" s="4" t="str">
        <f t="shared" si="30"/>
        <v>สมุดระบายสีเด็ก</v>
      </c>
      <c r="G66" s="4" t="str">
        <f t="shared" si="31"/>
        <v>159</v>
      </c>
      <c r="H66" s="4" t="str">
        <f t="shared" si="32"/>
        <v>199</v>
      </c>
      <c r="I66" s="4" t="str">
        <f t="shared" si="33"/>
        <v>20 หน้า</v>
      </c>
      <c r="J66" s="4" t="str">
        <f t="shared" si="34"/>
        <v>PDF</v>
      </c>
      <c r="K66" s="4" t="str">
        <f t="shared" si="35"/>
        <v>แนะนำ</v>
      </c>
      <c r="L66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31_cover.png?alt=media&amp;token=aa876b00-faad-4688-802c-f97dffce7ad7</v>
      </c>
      <c r="M66" s="4" t="str">
        <f t="shared" si="37"/>
        <v>https://drive.google.com/file/d/1-kWIzR69Lwp6Mjto1QYnes5jfXwRcsjQ/view?usp=sharing</v>
      </c>
      <c r="N66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31_%E0%B9%80%E0%B8%97%E0%B8%9E%E0%B8%99%E0%B8%B4%E0%B8%A2%E0%B8%B2%E0%B8%A2%E0%B8%81%E0%B9%88%E0%B8%AD%E0%B8%99%E0%B8%99%E0%B8%AD%E0%B8%99.png?alt=media&amp;token=d91adf04-2ebe-4365-847b-28b6e2e220a4</v>
      </c>
      <c r="O66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7" spans="1:15" ht="15" x14ac:dyDescent="0.35">
      <c r="A67" t="s">
        <v>153</v>
      </c>
      <c r="B67" s="4" t="str">
        <f t="shared" si="14"/>
        <v>97</v>
      </c>
      <c r="C67" s="4" t="str">
        <f t="shared" si="15"/>
        <v>เล่มที่ : 32 เทศกาลเฉลิมฉลองรอบโลก</v>
      </c>
      <c r="D67" s="4" t="str">
        <f t="shared" si="28"/>
        <v>คลังสมอง</v>
      </c>
      <c r="E67" s="4" t="str">
        <f t="shared" si="29"/>
        <v>คลังสมอง KLANGSAMONG</v>
      </c>
      <c r="F67" s="4" t="str">
        <f t="shared" si="30"/>
        <v>สมุดระบายสีเด็ก</v>
      </c>
      <c r="G67" s="4" t="str">
        <f t="shared" si="31"/>
        <v>159</v>
      </c>
      <c r="H67" s="4" t="str">
        <f t="shared" si="32"/>
        <v>199</v>
      </c>
      <c r="I67" s="4" t="str">
        <f t="shared" si="33"/>
        <v>20 หน้า</v>
      </c>
      <c r="J67" s="4" t="str">
        <f t="shared" si="34"/>
        <v>PDF</v>
      </c>
      <c r="K67" s="4" t="str">
        <f t="shared" si="35"/>
        <v>แนะนำ</v>
      </c>
      <c r="L67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32_cover.png?alt=media&amp;token=0e309110-fd23-47cc-93b9-afe0496ae427</v>
      </c>
      <c r="M67" s="4" t="str">
        <f t="shared" si="37"/>
        <v>https://drive.google.com/file/d/1_1q6L3SEQ3Sff0wQnADzegJw5SqLdhW4/view?usp=sharing</v>
      </c>
      <c r="N67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32_%E0%B9%80%E0%B8%97%E0%B8%A8%E0%B8%81%E0%B8%B2%E0%B8%A5%E0%B9%80%E0%B8%89%E0%B8%A5%E0%B8%B4%E0%B8%A1%E0%B8%89%E0%B8%A5%E0%B8%AD%E0%B8%87%E0%B8%A3%E0%B8%AD%E0%B8%9A%E0%B9%82%E0%B8%A5%E0%B8%81.png?alt=media&amp;token=d2fa9540-b638-4f9f-a5a0-77d88b6ef688</v>
      </c>
      <c r="O67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8" spans="1:15" ht="15" x14ac:dyDescent="0.35">
      <c r="A68" t="s">
        <v>154</v>
      </c>
      <c r="B68" s="4" t="str">
        <f t="shared" si="14"/>
        <v>98</v>
      </c>
      <c r="C68" s="4" t="str">
        <f t="shared" si="15"/>
        <v>เล่มที่ : 33 เสื้อผ้าและแฟชั่นของฉัน</v>
      </c>
      <c r="D68" s="4" t="str">
        <f t="shared" si="28"/>
        <v>คลังสมอง</v>
      </c>
      <c r="E68" s="4" t="str">
        <f t="shared" si="29"/>
        <v>คลังสมอง KLANGSAMONG</v>
      </c>
      <c r="F68" s="4" t="str">
        <f t="shared" si="30"/>
        <v>สมุดระบายสีเด็ก</v>
      </c>
      <c r="G68" s="4" t="str">
        <f t="shared" si="31"/>
        <v>159</v>
      </c>
      <c r="H68" s="4" t="str">
        <f t="shared" si="32"/>
        <v>199</v>
      </c>
      <c r="I68" s="4" t="str">
        <f t="shared" si="33"/>
        <v>20 หน้า</v>
      </c>
      <c r="J68" s="4" t="str">
        <f t="shared" si="34"/>
        <v>PDF</v>
      </c>
      <c r="K68" s="4" t="str">
        <f t="shared" si="35"/>
        <v>แนะนำ</v>
      </c>
      <c r="L68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33_cover.png?alt=media&amp;token=e02e81bd-92cc-4f30-b0d5-e95f5c1c1393</v>
      </c>
      <c r="M68" s="4" t="str">
        <f t="shared" si="37"/>
        <v>https://drive.google.com/file/d/19yPPKvyVg-rHkdrB8McHEZVg7euls4-B/view?usp=sharing</v>
      </c>
      <c r="N68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33_%E0%B9%80%E0%B8%AA%E0%B8%B7%E0%B9%89%E0%B8%AD%E0%B8%9C%E0%B9%89%E0%B8%B2%E0%B9%81%E0%B8%A5%E0%B8%B0%E0%B9%81%E0%B8%9F%E0%B8%8A%E0%B8%B1%E0%B9%88%E0%B8%99%E0%B8%82%E0%B8%AD%E0%B8%87%E0%B8%89%E0%B8%B1%E0%B8%99.png?alt=media&amp;token=f4b4900f-f331-47a8-b368-1527343cf0fe</v>
      </c>
      <c r="O68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69" spans="1:15" ht="15" x14ac:dyDescent="0.35">
      <c r="A69" t="s">
        <v>155</v>
      </c>
      <c r="B69" s="4" t="str">
        <f t="shared" si="14"/>
        <v>99</v>
      </c>
      <c r="C69" s="4" t="str">
        <f t="shared" si="15"/>
        <v>เล่มที่ : 34 เอเลี่ยนเพื่อนรักจากต่างดาว</v>
      </c>
      <c r="D69" s="4" t="str">
        <f t="shared" si="28"/>
        <v>คลังสมอง</v>
      </c>
      <c r="E69" s="4" t="str">
        <f t="shared" si="29"/>
        <v>คลังสมอง KLANGSAMONG</v>
      </c>
      <c r="F69" s="4" t="str">
        <f t="shared" si="30"/>
        <v>สมุดระบายสีเด็ก</v>
      </c>
      <c r="G69" s="4" t="str">
        <f t="shared" si="31"/>
        <v>159</v>
      </c>
      <c r="H69" s="4" t="str">
        <f t="shared" si="32"/>
        <v>199</v>
      </c>
      <c r="I69" s="4" t="str">
        <f t="shared" si="33"/>
        <v>20 หน้า</v>
      </c>
      <c r="J69" s="4" t="str">
        <f t="shared" si="34"/>
        <v>PDF</v>
      </c>
      <c r="K69" s="4" t="str">
        <f t="shared" si="35"/>
        <v>แนะนำ</v>
      </c>
      <c r="L69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34_cover.png?alt=media&amp;token=26d8e839-1384-4c6f-b99d-c019c8007a69</v>
      </c>
      <c r="M69" s="4" t="str">
        <f t="shared" si="37"/>
        <v>https://drive.google.com/file/d/1rhyp3HVq0xiKP0GkTIaAsc-pHan5wE-B/view?usp=sharing</v>
      </c>
      <c r="N69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34_%E0%B9%80%E0%B8%AD%E0%B9%80%E0%B8%A5%E0%B8%B5%E0%B9%88%E0%B8%A2%E0%B8%99%E0%B9%80%E0%B8%9E%E0%B8%B7%E0%B9%88%E0%B8%AD%E0%B8%99%E0%B8%A3%E0%B8%B1%E0%B8%81%E0%B8%88%E0%B8%B2%E0%B8%81%E0%B8%95%E0%B9%88%E0%B8%B2%E0%B8%87%E0%B8%94%E0%B8%B2%E0%B8%A7.png?alt=media&amp;token=818cb0e9-c908-4742-8252-7fa4c376ca3f</v>
      </c>
      <c r="O69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0" spans="1:15" ht="15" x14ac:dyDescent="0.35">
      <c r="A70" t="s">
        <v>156</v>
      </c>
      <c r="B70" s="4" t="str">
        <f t="shared" si="14"/>
        <v>100</v>
      </c>
      <c r="C70" s="4" t="str">
        <f t="shared" si="15"/>
        <v>เล่มที่ : 35 แคมป์ปิ้งในป่าใหญ่</v>
      </c>
      <c r="D70" s="4" t="str">
        <f t="shared" si="28"/>
        <v>คลังสมอง</v>
      </c>
      <c r="E70" s="4" t="str">
        <f t="shared" si="29"/>
        <v>คลังสมอง KLANGSAMONG</v>
      </c>
      <c r="F70" s="4" t="str">
        <f t="shared" si="30"/>
        <v>สมุดระบายสีเด็ก</v>
      </c>
      <c r="G70" s="4" t="str">
        <f t="shared" si="31"/>
        <v>159</v>
      </c>
      <c r="H70" s="4" t="str">
        <f t="shared" si="32"/>
        <v>199</v>
      </c>
      <c r="I70" s="4" t="str">
        <f t="shared" si="33"/>
        <v>20 หน้า</v>
      </c>
      <c r="J70" s="4" t="str">
        <f t="shared" si="34"/>
        <v>PDF</v>
      </c>
      <c r="K70" s="4" t="str">
        <f t="shared" si="35"/>
        <v>แนะนำ</v>
      </c>
      <c r="L70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35_cover.png?alt=media&amp;token=7457becd-2b6b-41e5-b395-23e52890e1af</v>
      </c>
      <c r="M70" s="4" t="str">
        <f t="shared" si="37"/>
        <v>https://drive.google.com/file/d/1eyUdrsCJj7bBYshkEol6kFkXD5YNc3LZ/view?usp=sharing</v>
      </c>
      <c r="N70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35_%E0%B9%81%E0%B8%84%E0%B8%A1%E0%B8%9B%E0%B9%8C%E0%B8%9B%E0%B8%B4%E0%B9%89%E0%B8%87%E0%B9%83%E0%B8%99%E0%B8%9B%E0%B9%88%E0%B8%B2%E0%B9%83%E0%B8%AB%E0%B8%8D%E0%B9%88.png?alt=media&amp;token=cbdbbb64-d4aa-4f7a-89e4-e80cb03a8ebf</v>
      </c>
      <c r="O70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1" spans="1:15" ht="15" x14ac:dyDescent="0.35">
      <c r="A71" t="s">
        <v>157</v>
      </c>
      <c r="B71" s="4" t="str">
        <f t="shared" si="14"/>
        <v>101</v>
      </c>
      <c r="C71" s="4" t="str">
        <f t="shared" si="15"/>
        <v>เล่มที่ : 36 โจรสลัดล่าขุมทรัพย์</v>
      </c>
      <c r="D71" s="4" t="str">
        <f t="shared" si="28"/>
        <v>คลังสมอง</v>
      </c>
      <c r="E71" s="4" t="str">
        <f t="shared" si="29"/>
        <v>คลังสมอง KLANGSAMONG</v>
      </c>
      <c r="F71" s="4" t="str">
        <f t="shared" si="30"/>
        <v>สมุดระบายสีเด็ก</v>
      </c>
      <c r="G71" s="4" t="str">
        <f t="shared" si="31"/>
        <v>159</v>
      </c>
      <c r="H71" s="4" t="str">
        <f t="shared" si="32"/>
        <v>199</v>
      </c>
      <c r="I71" s="4" t="str">
        <f t="shared" si="33"/>
        <v>20 หน้า</v>
      </c>
      <c r="J71" s="4" t="str">
        <f t="shared" si="34"/>
        <v>PDF</v>
      </c>
      <c r="K71" s="4" t="str">
        <f t="shared" si="35"/>
        <v>แนะนำ</v>
      </c>
      <c r="L71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36_cover.png?alt=media&amp;token=b730a81b-034c-4ee7-8ab3-bcbab9ee273b</v>
      </c>
      <c r="M71" s="4" t="str">
        <f t="shared" si="37"/>
        <v>https://drive.google.com/file/d/1IA2DJCQFJGWEZcZlPMkwNUVRBugS6GaH/view?usp=sharing</v>
      </c>
      <c r="N71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36_%E0%B9%82%E0%B8%88%E0%B8%A3%E0%B8%AA%E0%B8%A5%E0%B8%B1%E0%B8%94%E0%B8%A5%E0%B9%88%E0%B8%B2%E0%B8%82%E0%B8%B8%E0%B8%A1%E0%B8%97%E0%B8%A3%E0%B8%B1%E0%B8%9E%E0%B8%A2%E0%B9%8C.png?alt=media&amp;token=efb08f55-d95e-48c1-a9d1-bebd8b079efd</v>
      </c>
      <c r="O71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2" spans="1:15" ht="15" x14ac:dyDescent="0.35">
      <c r="A72" t="s">
        <v>158</v>
      </c>
      <c r="B72" s="4" t="str">
        <f t="shared" si="14"/>
        <v>102</v>
      </c>
      <c r="C72" s="4" t="str">
        <f t="shared" si="15"/>
        <v>เล่มที่ : 37 โรงละครสัตว์สุดตระการตา</v>
      </c>
      <c r="D72" s="4" t="str">
        <f t="shared" si="28"/>
        <v>คลังสมอง</v>
      </c>
      <c r="E72" s="4" t="str">
        <f t="shared" si="29"/>
        <v>คลังสมอง KLANGSAMONG</v>
      </c>
      <c r="F72" s="4" t="str">
        <f t="shared" si="30"/>
        <v>สมุดระบายสีเด็ก</v>
      </c>
      <c r="G72" s="4" t="str">
        <f t="shared" si="31"/>
        <v>159</v>
      </c>
      <c r="H72" s="4" t="str">
        <f t="shared" si="32"/>
        <v>199</v>
      </c>
      <c r="I72" s="4" t="str">
        <f t="shared" si="33"/>
        <v>20 หน้า</v>
      </c>
      <c r="J72" s="4" t="str">
        <f t="shared" si="34"/>
        <v>PDF</v>
      </c>
      <c r="K72" s="4" t="str">
        <f t="shared" si="35"/>
        <v>แนะนำ</v>
      </c>
      <c r="L72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37_cover.png?alt=media&amp;token=d3ee7adc-35fb-4065-839a-ebfcb902222f</v>
      </c>
      <c r="M72" s="4" t="str">
        <f t="shared" si="37"/>
        <v>https://drive.google.com/file/d/1LWNG14BHzEwnAkJsBoj2mGNzbF5R_YIF/view?usp=sharing</v>
      </c>
      <c r="N72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37_%E0%B9%82%E0%B8%A3%E0%B8%87%E0%B8%A5%E0%B8%B0%E0%B8%84%E0%B8%A3%E0%B8%AA%E0%B8%B1%E0%B8%95%E0%B8%A7%E0%B9%8C%E0%B8%AA%E0%B8%B8%E0%B8%94%E0%B8%95%E0%B8%A3%E0%B8%B0%E0%B8%81%E0%B8%B2%E0%B8%A3%E0%B8%95%E0%B8%B2.png?alt=media&amp;token=42f7c45d-c187-476e-bf65-ed9a3c831b5c</v>
      </c>
      <c r="O72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3" spans="1:15" ht="15" x14ac:dyDescent="0.35">
      <c r="A73" t="s">
        <v>159</v>
      </c>
      <c r="B73" s="4" t="str">
        <f t="shared" si="14"/>
        <v>103</v>
      </c>
      <c r="C73" s="4" t="str">
        <f t="shared" si="15"/>
        <v>เล่มที่ : 38 โลกแห่งสัตว์น่ารักแฟนตาซี</v>
      </c>
      <c r="D73" s="4" t="str">
        <f t="shared" si="28"/>
        <v>คลังสมอง</v>
      </c>
      <c r="E73" s="4" t="str">
        <f t="shared" si="29"/>
        <v>คลังสมอง KLANGSAMONG</v>
      </c>
      <c r="F73" s="4" t="str">
        <f t="shared" si="30"/>
        <v>สมุดระบายสีเด็ก</v>
      </c>
      <c r="G73" s="4" t="str">
        <f t="shared" si="31"/>
        <v>159</v>
      </c>
      <c r="H73" s="4" t="str">
        <f t="shared" si="32"/>
        <v>199</v>
      </c>
      <c r="I73" s="4" t="str">
        <f t="shared" si="33"/>
        <v>20 หน้า</v>
      </c>
      <c r="J73" s="4" t="str">
        <f t="shared" si="34"/>
        <v>PDF</v>
      </c>
      <c r="K73" s="4" t="str">
        <f t="shared" si="35"/>
        <v>แนะนำ</v>
      </c>
      <c r="L73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38_cover.png?alt=media&amp;token=c16d29eb-d9d0-472f-b242-88ea2753e074</v>
      </c>
      <c r="M73" s="4" t="str">
        <f t="shared" si="37"/>
        <v>https://drive.google.com/file/d/155cvVG0ieyHy3mOK69J_rkH4jJNxMZQh/view?usp=sharing</v>
      </c>
      <c r="N73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38_%E0%B9%82%E0%B8%A5%E0%B8%81%E0%B9%81%E0%B8%AB%E0%B9%88%E0%B8%87%E0%B8%AA%E0%B8%B1%E0%B8%95%E0%B8%A7%E0%B9%8C%E0%B8%99%E0%B9%88%E0%B8%B2%E0%B8%A3%E0%B8%B1%E0%B8%81%E0%B9%81%E0%B8%9F%E0%B8%99%E0%B8%95%E0%B8%B2%E0%B8%8B%E0%B8%B5.png?alt=media&amp;token=3552cb79-b982-4ad7-84ec-d1022fddee0e</v>
      </c>
      <c r="O73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4" spans="1:15" ht="15" x14ac:dyDescent="0.35">
      <c r="A74" t="s">
        <v>160</v>
      </c>
      <c r="B74" s="4" t="str">
        <f t="shared" si="14"/>
        <v>104</v>
      </c>
      <c r="C74" s="4" t="str">
        <f t="shared" si="15"/>
        <v>เล่มที่ : 39 โลกใต้ดินสุดพิศวง</v>
      </c>
      <c r="D74" s="4" t="str">
        <f t="shared" si="28"/>
        <v>คลังสมอง</v>
      </c>
      <c r="E74" s="4" t="str">
        <f t="shared" si="29"/>
        <v>คลังสมอง KLANGSAMONG</v>
      </c>
      <c r="F74" s="4" t="str">
        <f t="shared" si="30"/>
        <v>สมุดระบายสีเด็ก</v>
      </c>
      <c r="G74" s="4" t="str">
        <f t="shared" si="31"/>
        <v>159</v>
      </c>
      <c r="H74" s="4" t="str">
        <f t="shared" si="32"/>
        <v>199</v>
      </c>
      <c r="I74" s="4" t="str">
        <f t="shared" si="33"/>
        <v>20 หน้า</v>
      </c>
      <c r="J74" s="4" t="str">
        <f t="shared" si="34"/>
        <v>PDF</v>
      </c>
      <c r="K74" s="4" t="str">
        <f t="shared" si="35"/>
        <v>แนะนำ</v>
      </c>
      <c r="L74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39_cover.png?alt=media&amp;token=5fc82f28-3b06-4d0c-bcda-d530fc440f8d</v>
      </c>
      <c r="M74" s="4" t="str">
        <f t="shared" si="37"/>
        <v>https://drive.google.com/file/d/1pXm3UOPjPEGwYJA_beo-kwpuFJ5tueLC/view?usp=sharing</v>
      </c>
      <c r="N74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39_%E0%B9%82%E0%B8%A5%E0%B8%81%E0%B9%83%E0%B8%95%E0%B9%89%E0%B8%94%E0%B8%B4%E0%B8%99%E0%B8%AA%E0%B8%B8%E0%B8%94%E0%B8%9E%E0%B8%B4%E0%B8%A8%E0%B8%A7%E0%B8%87.png?alt=media&amp;token=923f5d4c-53bb-401f-af77-23449ec690b0</v>
      </c>
      <c r="O74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5" spans="1:15" ht="15" x14ac:dyDescent="0.35">
      <c r="A75" t="s">
        <v>161</v>
      </c>
      <c r="B75" s="4" t="str">
        <f t="shared" si="14"/>
        <v>105</v>
      </c>
      <c r="C75" s="4" t="str">
        <f t="shared" si="15"/>
        <v>เล่มที่ : 40 หุ่นยนต์เมืองอนาคต</v>
      </c>
      <c r="D75" s="4" t="str">
        <f t="shared" si="28"/>
        <v>คลังสมอง</v>
      </c>
      <c r="E75" s="4" t="str">
        <f t="shared" si="29"/>
        <v>คลังสมอง KLANGSAMONG</v>
      </c>
      <c r="F75" s="4" t="str">
        <f t="shared" si="30"/>
        <v>สมุดระบายสีเด็ก</v>
      </c>
      <c r="G75" s="4" t="str">
        <f t="shared" si="31"/>
        <v>159</v>
      </c>
      <c r="H75" s="4" t="str">
        <f t="shared" si="32"/>
        <v>199</v>
      </c>
      <c r="I75" s="4" t="str">
        <f t="shared" si="33"/>
        <v>20 หน้า</v>
      </c>
      <c r="J75" s="4" t="str">
        <f t="shared" si="34"/>
        <v>PDF</v>
      </c>
      <c r="K75" s="4" t="str">
        <f t="shared" si="35"/>
        <v>แนะนำ</v>
      </c>
      <c r="L75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40_cover.png?alt=media&amp;token=412c038e-5d27-4599-80b9-a7f508aac675</v>
      </c>
      <c r="M75" s="4" t="str">
        <f t="shared" si="37"/>
        <v>https://drive.google.com/file/d/1hljbKLAnwA3O8ui8fDLm-ATNgSKbGAmS/view?usp=sharing</v>
      </c>
      <c r="N75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40_sample.png?alt=media&amp;token=645961ea-2455-4651-8c94-fd149d9fdc88</v>
      </c>
      <c r="O75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6" spans="1:15" ht="15" x14ac:dyDescent="0.35">
      <c r="A76" t="s">
        <v>162</v>
      </c>
      <c r="B76" s="4" t="str">
        <f t="shared" si="14"/>
        <v>106</v>
      </c>
      <c r="C76" s="4" t="str">
        <f t="shared" si="15"/>
        <v>เล่มที่ : 41 มังกรน้อยผู้กล้าหาญ</v>
      </c>
      <c r="D76" s="4" t="str">
        <f t="shared" si="28"/>
        <v>คลังสมอง</v>
      </c>
      <c r="E76" s="4" t="str">
        <f t="shared" si="29"/>
        <v>คลังสมอง KLANGSAMONG</v>
      </c>
      <c r="F76" s="4" t="str">
        <f t="shared" si="30"/>
        <v>สมุดระบายสีเด็ก</v>
      </c>
      <c r="G76" s="4" t="str">
        <f t="shared" si="31"/>
        <v>159</v>
      </c>
      <c r="H76" s="4" t="str">
        <f t="shared" si="32"/>
        <v>199</v>
      </c>
      <c r="I76" s="4" t="str">
        <f t="shared" si="33"/>
        <v>20 หน้า</v>
      </c>
      <c r="J76" s="4" t="str">
        <f t="shared" si="34"/>
        <v>PDF</v>
      </c>
      <c r="K76" s="4" t="str">
        <f t="shared" si="35"/>
        <v>แนะนำ</v>
      </c>
      <c r="L76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41_cover.png?alt=media&amp;token=0328c7c9-47d4-4d5f-89ae-ae334ba88584</v>
      </c>
      <c r="M76" s="4" t="str">
        <f t="shared" si="37"/>
        <v>https://drive.google.com/file/d/1cVmhYZi8YvOjL9jJOpYvPBJ8Qr1uE4iE/view?usp=sharing</v>
      </c>
      <c r="N76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41_sample.png?alt=media&amp;token=078fc58a-1d5f-40e2-9768-8bba2b1ba2b7</v>
      </c>
      <c r="O76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7" spans="1:15" ht="15" x14ac:dyDescent="0.35">
      <c r="A77" t="s">
        <v>163</v>
      </c>
      <c r="B77" s="4" t="str">
        <f t="shared" si="14"/>
        <v>107</v>
      </c>
      <c r="C77" s="4" t="str">
        <f t="shared" si="15"/>
        <v>เล่มที่ : 42 ยูนิคอร์นและสายรุ้ง</v>
      </c>
      <c r="D77" s="4" t="str">
        <f t="shared" si="28"/>
        <v>คลังสมอง</v>
      </c>
      <c r="E77" s="4" t="str">
        <f t="shared" si="29"/>
        <v>คลังสมอง KLANGSAMONG</v>
      </c>
      <c r="F77" s="4" t="str">
        <f t="shared" si="30"/>
        <v>สมุดระบายสีเด็ก</v>
      </c>
      <c r="G77" s="4" t="str">
        <f t="shared" si="31"/>
        <v>159</v>
      </c>
      <c r="H77" s="4" t="str">
        <f t="shared" si="32"/>
        <v>199</v>
      </c>
      <c r="I77" s="4" t="str">
        <f t="shared" si="33"/>
        <v>20 หน้า</v>
      </c>
      <c r="J77" s="4" t="str">
        <f t="shared" si="34"/>
        <v>PDF</v>
      </c>
      <c r="K77" s="4" t="str">
        <f t="shared" si="35"/>
        <v>แนะนำ</v>
      </c>
      <c r="L77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42_cover.png?alt=media&amp;token=09f55ebe-8eb7-42e4-8c4d-9e78e5f3eb58</v>
      </c>
      <c r="M77" s="4" t="str">
        <f t="shared" si="37"/>
        <v>https://drive.google.com/file/d/1SxExU2AqvL29Qgy_Ah2plRvPJk_vwsWy/view?usp=sharing</v>
      </c>
      <c r="N77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42_sample.png?alt=media&amp;token=2c426376-0470-400d-a6b5-60499e35233f</v>
      </c>
      <c r="O77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8" spans="1:15" ht="15" x14ac:dyDescent="0.35">
      <c r="A78" t="s">
        <v>164</v>
      </c>
      <c r="B78" s="4" t="str">
        <f t="shared" si="14"/>
        <v>108</v>
      </c>
      <c r="C78" s="4" t="str">
        <f t="shared" si="15"/>
        <v>เล่มที่ : 43 อวกาศมหัศจรรย์</v>
      </c>
      <c r="D78" s="4" t="str">
        <f t="shared" si="28"/>
        <v>คลังสมอง</v>
      </c>
      <c r="E78" s="4" t="str">
        <f t="shared" si="29"/>
        <v>คลังสมอง KLANGSAMONG</v>
      </c>
      <c r="F78" s="4" t="str">
        <f t="shared" si="30"/>
        <v>สมุดระบายสีเด็ก</v>
      </c>
      <c r="G78" s="4" t="str">
        <f t="shared" si="31"/>
        <v>159</v>
      </c>
      <c r="H78" s="4" t="str">
        <f t="shared" si="32"/>
        <v>199</v>
      </c>
      <c r="I78" s="4" t="str">
        <f t="shared" si="33"/>
        <v>20 หน้า</v>
      </c>
      <c r="J78" s="4" t="str">
        <f t="shared" si="34"/>
        <v>PDF</v>
      </c>
      <c r="K78" s="4" t="str">
        <f t="shared" si="35"/>
        <v>แนะนำ</v>
      </c>
      <c r="L78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43_cover.png?alt=media&amp;token=9ef6adf7-2ab4-4679-9e0e-301a34afccbd</v>
      </c>
      <c r="M78" s="4" t="str">
        <f t="shared" si="37"/>
        <v>https://drive.google.com/file/d/1P3UXARIPpvSqNTC-YA_F18jUN63SAYP2/view?usp=sharing</v>
      </c>
      <c r="N78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43_sample.png?alt=media&amp;token=e698ca72-82c5-45a3-a46e-26c54d0efd15</v>
      </c>
      <c r="O78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79" spans="1:15" ht="15" x14ac:dyDescent="0.35">
      <c r="A79" t="s">
        <v>165</v>
      </c>
      <c r="B79" s="4" t="str">
        <f t="shared" si="14"/>
        <v>109</v>
      </c>
      <c r="C79" s="4" t="str">
        <f t="shared" si="15"/>
        <v>เล่มที่ : 44 เจ้าหญิงในโลกแฟนตาซี</v>
      </c>
      <c r="D79" s="4" t="str">
        <f t="shared" si="28"/>
        <v>คลังสมอง</v>
      </c>
      <c r="E79" s="4" t="str">
        <f t="shared" si="29"/>
        <v>คลังสมอง KLANGSAMONG</v>
      </c>
      <c r="F79" s="4" t="str">
        <f t="shared" si="30"/>
        <v>สมุดระบายสีเด็ก</v>
      </c>
      <c r="G79" s="4" t="str">
        <f t="shared" si="31"/>
        <v>159</v>
      </c>
      <c r="H79" s="4" t="str">
        <f t="shared" si="32"/>
        <v>199</v>
      </c>
      <c r="I79" s="4" t="str">
        <f t="shared" si="33"/>
        <v>20 หน้า</v>
      </c>
      <c r="J79" s="4" t="str">
        <f t="shared" si="34"/>
        <v>PDF</v>
      </c>
      <c r="K79" s="4" t="str">
        <f t="shared" si="35"/>
        <v>แนะนำ</v>
      </c>
      <c r="L79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44_cover.png?alt=media&amp;token=04739670-f169-4fa8-b4f2-a1bd497dc4c9</v>
      </c>
      <c r="M79" s="4" t="str">
        <f t="shared" si="37"/>
        <v>https://drive.google.com/file/d/1a9SujHLjpjPd8adte0VrJ6eoA53oGsMG/view?usp=sharing</v>
      </c>
      <c r="N79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44_sample.png?alt=media&amp;token=8edfd202-cb34-4192-a79d-21ec19b7936e</v>
      </c>
      <c r="O79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0" spans="1:15" ht="15" x14ac:dyDescent="0.35">
      <c r="A80" t="s">
        <v>166</v>
      </c>
      <c r="B80" s="4" t="str">
        <f t="shared" si="14"/>
        <v>110</v>
      </c>
      <c r="C80" s="4" t="str">
        <f t="shared" si="15"/>
        <v>เล่มที่ : 45 ไดโนเสาร์ผจญภัย</v>
      </c>
      <c r="D80" s="4" t="str">
        <f t="shared" si="28"/>
        <v>คลังสมอง</v>
      </c>
      <c r="E80" s="4" t="str">
        <f t="shared" si="29"/>
        <v>คลังสมอง KLANGSAMONG</v>
      </c>
      <c r="F80" s="4" t="str">
        <f t="shared" si="30"/>
        <v>สมุดระบายสีเด็ก</v>
      </c>
      <c r="G80" s="4" t="str">
        <f t="shared" si="31"/>
        <v>159</v>
      </c>
      <c r="H80" s="4" t="str">
        <f t="shared" si="32"/>
        <v>199</v>
      </c>
      <c r="I80" s="4" t="str">
        <f t="shared" si="33"/>
        <v>20 หน้า</v>
      </c>
      <c r="J80" s="4" t="str">
        <f t="shared" si="34"/>
        <v>PDF</v>
      </c>
      <c r="K80" s="4" t="str">
        <f t="shared" si="35"/>
        <v>แนะนำ</v>
      </c>
      <c r="L80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45_cover.png?alt=media&amp;token=97718816-487b-4171-9fe4-c96315e42231</v>
      </c>
      <c r="M80" s="4" t="str">
        <f t="shared" si="37"/>
        <v>https://drive.google.com/file/d/1lYBaL72qPyzbh7uqRQlYMfaklfZ0wFsz/view?usp=sharing</v>
      </c>
      <c r="N80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45_sample.png?alt=media&amp;token=67b66014-a6c1-4f24-901a-7bacd267d810</v>
      </c>
      <c r="O80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1" spans="1:15" ht="15" x14ac:dyDescent="0.35">
      <c r="A81" t="s">
        <v>167</v>
      </c>
      <c r="B81" s="4" t="str">
        <f t="shared" si="14"/>
        <v>111</v>
      </c>
      <c r="C81" s="4" t="str">
        <f t="shared" si="15"/>
        <v>เล่มที่ : 46 กิจวัตรประจำวันแสนสุข</v>
      </c>
      <c r="D81" s="4" t="str">
        <f t="shared" si="28"/>
        <v>คลังสมอง</v>
      </c>
      <c r="E81" s="4" t="str">
        <f t="shared" si="29"/>
        <v>คลังสมอง KLANGSAMONG</v>
      </c>
      <c r="F81" s="4" t="str">
        <f t="shared" si="30"/>
        <v>สมุดระบายสีเด็ก</v>
      </c>
      <c r="G81" s="4" t="str">
        <f t="shared" si="31"/>
        <v>159</v>
      </c>
      <c r="H81" s="4" t="str">
        <f t="shared" si="32"/>
        <v>199</v>
      </c>
      <c r="I81" s="4" t="str">
        <f t="shared" si="33"/>
        <v>20 หน้า</v>
      </c>
      <c r="J81" s="4" t="str">
        <f t="shared" si="34"/>
        <v>PDF</v>
      </c>
      <c r="K81" s="4" t="str">
        <f t="shared" si="35"/>
        <v>แนะนำ</v>
      </c>
      <c r="L81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46_cover.png?alt=media&amp;token=5af5591a-7c48-4ad5-b9dd-c4f41c8d046c</v>
      </c>
      <c r="M81" s="4" t="str">
        <f t="shared" si="37"/>
        <v>https://drive.google.com/file/d/18l3ZHwvmQFOiO5n2s0pjdQJ2yCTbeBft/view?usp=sharing</v>
      </c>
      <c r="N81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46_sample_reduce_size.png?alt=media&amp;token=6de8dc6f-be8a-4c6b-8e8e-3b2ee2031727</v>
      </c>
      <c r="O81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2" spans="1:15" ht="15" x14ac:dyDescent="0.35">
      <c r="A82" t="s">
        <v>168</v>
      </c>
      <c r="B82" s="4" t="str">
        <f t="shared" si="14"/>
        <v>112</v>
      </c>
      <c r="C82" s="4" t="str">
        <f t="shared" si="15"/>
        <v>เล่มที่ : 47 นักสำรวจป่า</v>
      </c>
      <c r="D82" s="4" t="str">
        <f t="shared" si="28"/>
        <v>คลังสมอง</v>
      </c>
      <c r="E82" s="4" t="str">
        <f t="shared" si="29"/>
        <v>คลังสมอง KLANGSAMONG</v>
      </c>
      <c r="F82" s="4" t="str">
        <f t="shared" si="30"/>
        <v>สมุดระบายสีเด็ก</v>
      </c>
      <c r="G82" s="4" t="str">
        <f t="shared" si="31"/>
        <v>159</v>
      </c>
      <c r="H82" s="4" t="str">
        <f t="shared" si="32"/>
        <v>199</v>
      </c>
      <c r="I82" s="4" t="str">
        <f t="shared" si="33"/>
        <v>20 หน้า</v>
      </c>
      <c r="J82" s="4" t="str">
        <f t="shared" si="34"/>
        <v>PDF</v>
      </c>
      <c r="K82" s="4" t="str">
        <f t="shared" si="35"/>
        <v>แนะนำ</v>
      </c>
      <c r="L82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47_cover.png?alt=media&amp;token=8a51b81e-b9e3-48be-89b6-02195bbc1728</v>
      </c>
      <c r="M82" s="4" t="str">
        <f t="shared" si="37"/>
        <v>https://drive.google.com/file/d/1t0rDo2bPDMZ_1oYwNupSQLAevM4Tt2_u/view?usp=sharing</v>
      </c>
      <c r="N82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47_sample_reduce_size.png?alt=media&amp;token=b009cac8-a6b9-4cda-bc0c-237b01fc51da</v>
      </c>
      <c r="O82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3" spans="1:15" ht="15" x14ac:dyDescent="0.35">
      <c r="A83" t="s">
        <v>169</v>
      </c>
      <c r="B83" s="4" t="str">
        <f t="shared" si="14"/>
        <v>113</v>
      </c>
      <c r="C83" s="4" t="str">
        <f t="shared" si="15"/>
        <v>เล่มที่ : 48 ปราสาทมหัศจรรย์</v>
      </c>
      <c r="D83" s="4" t="str">
        <f t="shared" si="28"/>
        <v>คลังสมอง</v>
      </c>
      <c r="E83" s="4" t="str">
        <f t="shared" si="29"/>
        <v>คลังสมอง KLANGSAMONG</v>
      </c>
      <c r="F83" s="4" t="str">
        <f t="shared" si="30"/>
        <v>สมุดระบายสีเด็ก</v>
      </c>
      <c r="G83" s="4" t="str">
        <f t="shared" si="31"/>
        <v>159</v>
      </c>
      <c r="H83" s="4" t="str">
        <f t="shared" si="32"/>
        <v>199</v>
      </c>
      <c r="I83" s="4" t="str">
        <f t="shared" si="33"/>
        <v>20 หน้า</v>
      </c>
      <c r="J83" s="4" t="str">
        <f t="shared" si="34"/>
        <v>PDF</v>
      </c>
      <c r="K83" s="4" t="str">
        <f t="shared" si="35"/>
        <v>แนะนำ</v>
      </c>
      <c r="L83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48_cover.png?alt=media&amp;token=67c8fc50-d1ab-42a1-b5e7-d5f0ab970b88</v>
      </c>
      <c r="M83" s="4" t="str">
        <f t="shared" si="37"/>
        <v>https://drive.google.com/file/d/1SnL9l503uCOl5cVDB3BFWej-K_iYfUZN/view?usp=sharing</v>
      </c>
      <c r="N83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48_sample_reduce_size.png?alt=media&amp;token=bdd19127-88f7-4a6d-a4ec-306bf11d5c49</v>
      </c>
      <c r="O83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4" spans="1:15" ht="15" x14ac:dyDescent="0.35">
      <c r="A84" t="s">
        <v>170</v>
      </c>
      <c r="B84" s="4" t="str">
        <f t="shared" si="14"/>
        <v>114</v>
      </c>
      <c r="C84" s="4" t="str">
        <f t="shared" si="15"/>
        <v>เล่มที่ : 49 ฤดูกาลมหัศจรรย์</v>
      </c>
      <c r="D84" s="4" t="str">
        <f t="shared" si="28"/>
        <v>คลังสมอง</v>
      </c>
      <c r="E84" s="4" t="str">
        <f t="shared" si="29"/>
        <v>คลังสมอง KLANGSAMONG</v>
      </c>
      <c r="F84" s="4" t="str">
        <f t="shared" si="30"/>
        <v>สมุดระบายสีเด็ก</v>
      </c>
      <c r="G84" s="4" t="str">
        <f t="shared" si="31"/>
        <v>159</v>
      </c>
      <c r="H84" s="4" t="str">
        <f t="shared" si="32"/>
        <v>199</v>
      </c>
      <c r="I84" s="4" t="str">
        <f t="shared" si="33"/>
        <v>20 หน้า</v>
      </c>
      <c r="J84" s="4" t="str">
        <f t="shared" si="34"/>
        <v>PDF</v>
      </c>
      <c r="K84" s="4" t="str">
        <f t="shared" si="35"/>
        <v>แนะนำ</v>
      </c>
      <c r="L84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49_cover.png?alt=media&amp;token=7e767060-8a9b-435b-9991-bed614454069</v>
      </c>
      <c r="M84" s="4" t="str">
        <f t="shared" si="37"/>
        <v>https://drive.google.com/file/d/1RChtBC53SK2L-SNKOI0we3Zo6w6JOCTg/view?usp=sharing</v>
      </c>
      <c r="N84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49_sample_reduce_size.png?alt=media&amp;token=798656f6-2c3d-4c27-aa8e-190b6cc448cd</v>
      </c>
      <c r="O84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  <row r="85" spans="1:15" ht="15" x14ac:dyDescent="0.35">
      <c r="A85" t="s">
        <v>171</v>
      </c>
      <c r="B85" s="4" t="str">
        <f t="shared" si="14"/>
        <v>115</v>
      </c>
      <c r="C85" s="4" t="str">
        <f t="shared" si="15"/>
        <v>เล่มที่ : 50 สัตว์โลกยุคน้ำแข็ง</v>
      </c>
      <c r="D85" s="4" t="str">
        <f t="shared" si="28"/>
        <v>คลังสมอง</v>
      </c>
      <c r="E85" s="4" t="str">
        <f t="shared" si="29"/>
        <v>คลังสมอง KLANGSAMONG</v>
      </c>
      <c r="F85" s="4" t="str">
        <f t="shared" si="30"/>
        <v>สมุดระบายสีเด็ก</v>
      </c>
      <c r="G85" s="4" t="str">
        <f t="shared" si="31"/>
        <v>159</v>
      </c>
      <c r="H85" s="4" t="str">
        <f t="shared" si="32"/>
        <v>199</v>
      </c>
      <c r="I85" s="4" t="str">
        <f t="shared" si="33"/>
        <v>20 หน้า</v>
      </c>
      <c r="J85" s="4" t="str">
        <f t="shared" si="34"/>
        <v>PDF</v>
      </c>
      <c r="K85" s="4" t="str">
        <f t="shared" si="35"/>
        <v>แนะนำ</v>
      </c>
      <c r="L85" s="4" t="str">
        <f t="shared" si="36"/>
        <v>https://firebasestorage.googleapis.com/v0/b/klangsamong-e1d13.firebasestorage.app/o/covers%2F%E0%B8%AA%E0%B8%A1%E0%B8%B8%E0%B8%94%E0%B8%A3%E0%B8%B0%E0%B8%9A%E0%B8%B2%E0%B8%A2%E0%B8%AA%E0%B8%B5%E0%B9%80%E0%B8%94%E0%B9%87%E0%B8%81%2F50_cover.png?alt=media&amp;token=2f69e921-4198-432a-893b-1c645d67b7cd</v>
      </c>
      <c r="M85" s="4" t="str">
        <f t="shared" si="37"/>
        <v>https://drive.google.com/file/d/1pnmP02tZgCni36cyk-I5ag36UiT76VYc/view?usp=sharing</v>
      </c>
      <c r="N85" s="4" t="str">
        <f t="shared" si="38"/>
        <v>https://firebasestorage.googleapis.com/v0/b/klangsamong-e1d13.firebasestorage.app/o/samples%2F%E0%B8%AA%E0%B8%A1%E0%B8%B8%E0%B8%94%E0%B8%A3%E0%B8%B0%E0%B8%9A%E0%B8%B2%E0%B8%A2%E0%B8%AA%E0%B8%B5%E0%B9%80%E0%B8%94%E0%B9%87%E0%B8%81%2F50_sample_reduce_size.png?alt=media&amp;token=a86247c5-e588-4ef4-9f9e-c2edb9d20e5b</v>
      </c>
      <c r="O85" s="4" t="str">
        <f t="shared" si="39"/>
        <v>สมุดระบายสีเสริมสร้างจินตนาการ ลายเส้นคมชัด ระบายง่าย สำหรับเด็กอนุบาล - ประถม ON DUPLICATE KEY UPDATE title = VALUES(title, author_name = VALUES(author_name, publisher = VALUES(publisher, category = VALUES(category, price = VALUES(price, original_price = VALUES(original_price, pages_count = VALUES(pages_count, file_type = VALUES(file_type, badge = VALUES(badge, cover_image_url = VALUES(cover_image_url, file_path = VALUES(file_path, sample_file_path = VALUES(sample_file_path, description = VALUES(description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INSERT_Generator</vt:lpstr>
      <vt:lpstr>UPDATE_Generator</vt:lpstr>
      <vt:lpstr>DELETE_Generator</vt:lpstr>
      <vt:lpstr>SQL_To_Table_Parser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Teetawat Chomparn</cp:lastModifiedBy>
  <dcterms:created xsi:type="dcterms:W3CDTF">2026-08-03T16:12:13Z</dcterms:created>
  <dcterms:modified xsi:type="dcterms:W3CDTF">2026-08-03T16:15:28Z</dcterms:modified>
</cp:coreProperties>
</file>